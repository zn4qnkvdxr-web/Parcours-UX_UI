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Matrice devices" sheetId="2" state="visible" r:id="rId4"/>
    <sheet name="Cas de test" sheetId="3" state="visible" r:id="rId5"/>
    <sheet name="Synthese" sheetId="4" state="visible" r:id="rId6"/>
  </sheets>
  <definedNames>
    <definedName function="false" hidden="true" localSheetId="2" name="_xlnm._FilterDatabase" vbProcedure="false">'Cas de test'!$A$4:$K$67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<sst xmlns="http://schemas.openxmlformats.org/spreadsheetml/2006/main" count="649" uniqueCount="390">
  <si>
    <t xml:space="preserve">TNR - Parcours UX/UI</t>
  </si>
  <si>
    <t xml:space="preserve">Campagne de non-regression a rejouer avant chaque mise en production.</t>
  </si>
  <si>
    <t xml:space="preserve">Perimetre</t>
  </si>
  <si>
    <t xml:space="preserve">Page de suivi deployee sur Vercel : index.html, parcours.json, api/progress.js.</t>
  </si>
  <si>
    <t xml:space="preserve">Quand la rejouer</t>
  </si>
  <si>
    <t xml:space="preserve">Avant toute mise en production : modification du contenu, du gabarit, de la fonction serveur ou du stockage.</t>
  </si>
  <si>
    <t xml:space="preserve">Duree indicative</t>
  </si>
  <si>
    <t xml:space="preserve">Passe complete : environ 2 h. Passe courte (cas P1 seuls) : environ 45 min.</t>
  </si>
  <si>
    <t xml:space="preserve">COMMENT REMPLIR</t>
  </si>
  <si>
    <t xml:space="preserve">Onglet a remplir</t>
  </si>
  <si>
    <t xml:space="preserve">Cas de test uniquement. Les colonnes Mobile, Tablette, Desktop et Anomalie sont les seules cellules a saisir.</t>
  </si>
  <si>
    <t xml:space="preserve">Valeurs autorisees</t>
  </si>
  <si>
    <t xml:space="preserve">OK - KO - N/A - Non teste  (liste deroulante dans chaque cellule)</t>
  </si>
  <si>
    <t xml:space="preserve">N/A pre-rempli</t>
  </si>
  <si>
    <t xml:space="preserve">Les cellules grisees marquees N/A designent un cas hors perimetre pour cette classe d'appareil. Ne pas les modifier.</t>
  </si>
  <si>
    <t xml:space="preserve">Exemple de saisie</t>
  </si>
  <si>
    <t xml:space="preserve">Ligne A01 : Mobile = OK, Tablette = OK, Desktop = KO, Anomalie = 1440x900 Safari 17.4 : la barre de progression reste a zero.</t>
  </si>
  <si>
    <t xml:space="preserve">En cas de KO</t>
  </si>
  <si>
    <t xml:space="preserve">Renseigner la colonne Anomalie : appareil exact, navigateur, version, comportement observe.</t>
  </si>
  <si>
    <t xml:space="preserve">Onglet Synthese</t>
  </si>
  <si>
    <t xml:space="preserve">Se met a jour seul. Aucune saisie, sauf la cellule jaune d'en-tete de campagne.</t>
  </si>
  <si>
    <t xml:space="preserve">PREREQUIS</t>
  </si>
  <si>
    <t xml:space="preserve">Environnement</t>
  </si>
  <si>
    <t xml:space="preserve">URL de preproduction ou de production, distincte du poste local.</t>
  </si>
  <si>
    <t xml:space="preserve">Jeu de liens</t>
  </si>
  <si>
    <t xml:space="preserve">Le lien de lecture (?p=&lt;slug&gt;) et le lien d'edition (?p=&lt;slug&gt;&amp;k=&lt;jeton&gt;).</t>
  </si>
  <si>
    <t xml:space="preserve">Slug de recette</t>
  </si>
  <si>
    <t xml:space="preserve">Utiliser un slug dedie aux tests, jamais celui d'un parcours reel : la campagne ecrit et efface des donnees.</t>
  </si>
  <si>
    <t xml:space="preserve">Remise a zero</t>
  </si>
  <si>
    <t xml:space="preserve">Avant la campagne : decocher toutes les cases et vider tous les champs de lien sur le slug de recette.</t>
  </si>
  <si>
    <t xml:space="preserve">PRIORITES</t>
  </si>
  <si>
    <t xml:space="preserve">P1</t>
  </si>
  <si>
    <t xml:space="preserve">Bloquant. Un KO interdit la mise en production.</t>
  </si>
  <si>
    <t xml:space="preserve">P2</t>
  </si>
  <si>
    <t xml:space="preserve">Majeur. Un KO est arbitre, il ne bloque pas necessairement.</t>
  </si>
  <si>
    <t xml:space="preserve">Matrice de couverture</t>
  </si>
  <si>
    <t xml:space="preserve">Chaque classe d'appareil doit etre couverte par au moins une configuration P1.</t>
  </si>
  <si>
    <t xml:space="preserve">Ref</t>
  </si>
  <si>
    <t xml:space="preserve">Classe</t>
  </si>
  <si>
    <t xml:space="preserve">Appareil / resolution</t>
  </si>
  <si>
    <t xml:space="preserve">Navigateur</t>
  </si>
  <si>
    <t xml:space="preserve">Systeme</t>
  </si>
  <si>
    <t xml:space="preserve">Prio</t>
  </si>
  <si>
    <t xml:space="preserve">Point d'attention</t>
  </si>
  <si>
    <t xml:space="preserve">D1</t>
  </si>
  <si>
    <t xml:space="preserve">Mobile</t>
  </si>
  <si>
    <t xml:space="preserve">iPhone 13/14/15 - 390 x 844</t>
  </si>
  <si>
    <t xml:space="preserve">Safari</t>
  </si>
  <si>
    <t xml:space="preserve">iOS 17+</t>
  </si>
  <si>
    <t xml:space="preserve">Reference mobile. Flou d'arriere-plan et barre d'adresse retractable.</t>
  </si>
  <si>
    <t xml:space="preserve">D2</t>
  </si>
  <si>
    <t xml:space="preserve">Pixel / Galaxy - 412 x 915</t>
  </si>
  <si>
    <t xml:space="preserve">Chrome</t>
  </si>
  <si>
    <t xml:space="preserve">Android 13+</t>
  </si>
  <si>
    <t xml:space="preserve">Reference Android. Rendu des polices et des ombres.</t>
  </si>
  <si>
    <t xml:space="preserve">D3</t>
  </si>
  <si>
    <t xml:space="preserve">Petit ecran - 360 x 640</t>
  </si>
  <si>
    <t xml:space="preserve">Android</t>
  </si>
  <si>
    <t xml:space="preserve">Cas le plus contraint. Debordement horizontal, longueur des libelles.</t>
  </si>
  <si>
    <t xml:space="preserve">D4</t>
  </si>
  <si>
    <t xml:space="preserve">Tablette</t>
  </si>
  <si>
    <t xml:space="preserve">iPad portrait - 768 x 1024</t>
  </si>
  <si>
    <t xml:space="preserve">iPadOS</t>
  </si>
  <si>
    <t xml:space="preserve">Une seule colonne attendue, carte plafonnee a 660 px.</t>
  </si>
  <si>
    <t xml:space="preserve">D5</t>
  </si>
  <si>
    <t xml:space="preserve">iPad paysage - 1024 x 768</t>
  </si>
  <si>
    <t xml:space="preserve">Bascule a deux colonnes. Seuil de rupture a 880 px.</t>
  </si>
  <si>
    <t xml:space="preserve">D6</t>
  </si>
  <si>
    <t xml:space="preserve">Desktop</t>
  </si>
  <si>
    <t xml:space="preserve">1280 x 800</t>
  </si>
  <si>
    <t xml:space="preserve">macOS / Win</t>
  </si>
  <si>
    <t xml:space="preserve">Configuration de reference bureau.</t>
  </si>
  <si>
    <t xml:space="preserve">D7</t>
  </si>
  <si>
    <t xml:space="preserve">1440 x 900</t>
  </si>
  <si>
    <t xml:space="preserve">macOS</t>
  </si>
  <si>
    <t xml:space="preserve">Moteur WebKit. Prefixes -webkit- du flou d'arriere-plan.</t>
  </si>
  <si>
    <t xml:space="preserve">D8</t>
  </si>
  <si>
    <t xml:space="preserve">1920 x 1080</t>
  </si>
  <si>
    <t xml:space="preserve">Edge</t>
  </si>
  <si>
    <t xml:space="preserve">Windows 11</t>
  </si>
  <si>
    <t xml:space="preserve">Cadre plafonne a 1140 px : verifier l'absence d'etalement.</t>
  </si>
  <si>
    <t xml:space="preserve">D9</t>
  </si>
  <si>
    <t xml:space="preserve">Firefox</t>
  </si>
  <si>
    <t xml:space="preserve">Windows</t>
  </si>
  <si>
    <t xml:space="preserve">Moteur Gecko. Rendu du flou et du grain.</t>
  </si>
  <si>
    <t xml:space="preserve">Classes utilisees dans l'onglet Cas de test :  Mobile = D1 D2 D3   |   Tablette = D4 D5   |   Desktop = D6 D7 D8 D9</t>
  </si>
  <si>
    <t xml:space="preserve">Cas de test</t>
  </si>
  <si>
    <t xml:space="preserve">Saisir uniquement les colonnes Mobile, Tablette, Desktop et Anomalie.</t>
  </si>
  <si>
    <t xml:space="preserve">Domaine</t>
  </si>
  <si>
    <t xml:space="preserve">Preconditions</t>
  </si>
  <si>
    <t xml:space="preserve">Etapes</t>
  </si>
  <si>
    <t xml:space="preserve">Resultat attendu</t>
  </si>
  <si>
    <t xml:space="preserve">Anomalie constatee</t>
  </si>
  <si>
    <t xml:space="preserve">A01</t>
  </si>
  <si>
    <t xml:space="preserve">A. Chargement</t>
  </si>
  <si>
    <t xml:space="preserve">Ouverture du lien de lecture</t>
  </si>
  <si>
    <t xml:space="preserve">Slug de recette existant</t>
  </si>
  <si>
    <t xml:space="preserve">Ouvrir ?p=&lt;slug&gt;</t>
  </si>
  <si>
    <t xml:space="preserve">La page s'affiche : titre, sous-titre, barre de progression, six cartes.</t>
  </si>
  <si>
    <t xml:space="preserve">A02</t>
  </si>
  <si>
    <t xml:space="preserve">Contenu issu de parcours.json</t>
  </si>
  <si>
    <t xml:space="preserve">-</t>
  </si>
  <si>
    <t xml:space="preserve">Comparer l'ecran au fichier parcours.json</t>
  </si>
  <si>
    <t xml:space="preserve">Chaque etape, semaine, jalon et tache correspond au fichier, dans le meme ordre.</t>
  </si>
  <si>
    <t xml:space="preserve">N/A</t>
  </si>
  <si>
    <t xml:space="preserve">A03</t>
  </si>
  <si>
    <t xml:space="preserve">Etat initial conforme au serveur</t>
  </si>
  <si>
    <t xml:space="preserve">Progression enregistree non nulle</t>
  </si>
  <si>
    <t xml:space="preserve">Recharger la page</t>
  </si>
  <si>
    <t xml:space="preserve">Coches, liens, compteur et barre refletent l'etat stocke.</t>
  </si>
  <si>
    <t xml:space="preserve">A04</t>
  </si>
  <si>
    <t xml:space="preserve">parcours.json illisible</t>
  </si>
  <si>
    <t xml:space="preserve">Renommer temporairement le fichier</t>
  </si>
  <si>
    <t xml:space="preserve">Recharger</t>
  </si>
  <si>
    <t xml:space="preserve">Message d'erreur explicite. Pas de page blanche.</t>
  </si>
  <si>
    <t xml:space="preserve">A05</t>
  </si>
  <si>
    <t xml:space="preserve">Stockage indisponible</t>
  </si>
  <si>
    <t xml:space="preserve">Retirer la variable d'environnement du store</t>
  </si>
  <si>
    <t xml:space="preserve">Recharger puis cocher une case</t>
  </si>
  <si>
    <t xml:space="preserve">Pastille Hors ligne. La page reste consultable et manipulable localement.</t>
  </si>
  <si>
    <t xml:space="preserve">A06</t>
  </si>
  <si>
    <t xml:space="preserve">Polices distantes bloquees</t>
  </si>
  <si>
    <t xml:space="preserve">Bloquer fonts.googleapis.com</t>
  </si>
  <si>
    <t xml:space="preserve">Texte lisible via les polices de repli. Aucun texte invisible.</t>
  </si>
  <si>
    <t xml:space="preserve">B01</t>
  </si>
  <si>
    <t xml:space="preserve">B. Droits d'acces</t>
  </si>
  <si>
    <t xml:space="preserve">Lien de lecture : cases verrouillees</t>
  </si>
  <si>
    <t xml:space="preserve">Lien sans jeton</t>
  </si>
  <si>
    <t xml:space="preserve">Cliquer sur une case</t>
  </si>
  <si>
    <t xml:space="preserve">Aucun changement. Les cases sont desactivees.</t>
  </si>
  <si>
    <t xml:space="preserve">B02</t>
  </si>
  <si>
    <t xml:space="preserve">Lien de lecture : pas de champ de saisie</t>
  </si>
  <si>
    <t xml:space="preserve">Observer la zone lien de chaque carte</t>
  </si>
  <si>
    <t xml:space="preserve">Aucun champ editable. Le lien depose s'affiche en consultation, sinon Aucun lien depose.</t>
  </si>
  <si>
    <t xml:space="preserve">B03</t>
  </si>
  <si>
    <t xml:space="preserve">Lien de lecture : pastille</t>
  </si>
  <si>
    <t xml:space="preserve">Observer le bas de l'ecran</t>
  </si>
  <si>
    <t xml:space="preserve">Pastille Lecture seule affichee en permanence.</t>
  </si>
  <si>
    <t xml:space="preserve">B04</t>
  </si>
  <si>
    <t xml:space="preserve">Lien d'edition : edition possible</t>
  </si>
  <si>
    <t xml:space="preserve">Lien avec jeton valide</t>
  </si>
  <si>
    <t xml:space="preserve">Cocher une case</t>
  </si>
  <si>
    <t xml:space="preserve">La case se coche, la pastille passe a Enregistrement puis Enregistre.</t>
  </si>
  <si>
    <t xml:space="preserve">B05</t>
  </si>
  <si>
    <t xml:space="preserve">Jeton errone : ecriture refusee</t>
  </si>
  <si>
    <t xml:space="preserve">Lien avec un jeton faux</t>
  </si>
  <si>
    <t xml:space="preserve">Pastille d'echec. Apres rechargement, la coche a disparu.</t>
  </si>
  <si>
    <t xml:space="preserve">B06</t>
  </si>
  <si>
    <t xml:space="preserve">Ecriture forgee hors navigateur</t>
  </si>
  <si>
    <t xml:space="preserve">Terminal</t>
  </si>
  <si>
    <t xml:space="preserve">POST /api/progress?p=&lt;slug&gt; sans parametre k</t>
  </si>
  <si>
    <t xml:space="preserve">Reponse HTTP 403. Aucune donnee modifiee.</t>
  </si>
  <si>
    <t xml:space="preserve">B07</t>
  </si>
  <si>
    <t xml:space="preserve">Slug invalide</t>
  </si>
  <si>
    <t xml:space="preserve">Ouvrir ?p=A_B/C</t>
  </si>
  <si>
    <t xml:space="preserve">Reponse 400 cote API. La page ne casse pas.</t>
  </si>
  <si>
    <t xml:space="preserve">C01</t>
  </si>
  <si>
    <t xml:space="preserve">C. Progression</t>
  </si>
  <si>
    <t xml:space="preserve">Cocher une tache</t>
  </si>
  <si>
    <t xml:space="preserve">Lien d'edition</t>
  </si>
  <si>
    <t xml:space="preserve">Pastille verte, coche tracee, libelle attenue.</t>
  </si>
  <si>
    <t xml:space="preserve">C02</t>
  </si>
  <si>
    <t xml:space="preserve">Decocher une tache</t>
  </si>
  <si>
    <t xml:space="preserve">Tache cochee</t>
  </si>
  <si>
    <t xml:space="preserve">Decocher</t>
  </si>
  <si>
    <t xml:space="preserve">Retour a l'etat initial, enregistre.</t>
  </si>
  <si>
    <t xml:space="preserve">C03</t>
  </si>
  <si>
    <t xml:space="preserve">Etape completee</t>
  </si>
  <si>
    <t xml:space="preserve">Cocher toutes les taches d'une etape</t>
  </si>
  <si>
    <t xml:space="preserve">Bordure et point de l'etape passent au vert, compteur incremente de 1.</t>
  </si>
  <si>
    <t xml:space="preserve">C04</t>
  </si>
  <si>
    <t xml:space="preserve">Etape decompletee</t>
  </si>
  <si>
    <t xml:space="preserve">Etape complete</t>
  </si>
  <si>
    <t xml:space="preserve">L'etape s'eteint, compteur decremente de 1.</t>
  </si>
  <si>
    <t xml:space="preserve">C05</t>
  </si>
  <si>
    <t xml:space="preserve">Barre proportionnelle</t>
  </si>
  <si>
    <t xml:space="preserve">3 etapes sur 6 completes</t>
  </si>
  <si>
    <t xml:space="preserve">Observer la barre</t>
  </si>
  <si>
    <t xml:space="preserve">Remplissage a la moitie exactement.</t>
  </si>
  <si>
    <t xml:space="preserve">C06</t>
  </si>
  <si>
    <t xml:space="preserve">Ambiance liee a la progression</t>
  </si>
  <si>
    <t xml:space="preserve">0 puis 6 etapes completes</t>
  </si>
  <si>
    <t xml:space="preserve">Comparer les deux etats</t>
  </si>
  <si>
    <t xml:space="preserve">Le fond s'eclaircit a mesure des jalons valides.</t>
  </si>
  <si>
    <t xml:space="preserve">C07</t>
  </si>
  <si>
    <t xml:space="preserve">Persistance apres rechargement</t>
  </si>
  <si>
    <t xml:space="preserve">Plusieurs cases cochees</t>
  </si>
  <si>
    <t xml:space="preserve">Attendre 2 s puis recharger</t>
  </si>
  <si>
    <t xml:space="preserve">Etat identique avant et apres rechargement.</t>
  </si>
  <si>
    <t xml:space="preserve">C08</t>
  </si>
  <si>
    <t xml:space="preserve">Enregistrement groupe</t>
  </si>
  <si>
    <t xml:space="preserve">Onglet reseau ouvert</t>
  </si>
  <si>
    <t xml:space="preserve">Cocher 5 cases en moins d'une seconde</t>
  </si>
  <si>
    <t xml:space="preserve">Une seule requete POST, 800 ms apres le dernier clic.</t>
  </si>
  <si>
    <t xml:space="preserve">D01</t>
  </si>
  <si>
    <t xml:space="preserve">D. Liens de rendu</t>
  </si>
  <si>
    <t xml:space="preserve">URL complete</t>
  </si>
  <si>
    <t xml:space="preserve">Coller https://figma.com/file/xxx</t>
  </si>
  <si>
    <t xml:space="preserve">Le bouton Ouvrir apparait.</t>
  </si>
  <si>
    <t xml:space="preserve">D02</t>
  </si>
  <si>
    <t xml:space="preserve">URL sans protocole</t>
  </si>
  <si>
    <t xml:space="preserve">Coller figma.com/file/xxx</t>
  </si>
  <si>
    <t xml:space="preserve">La valeur est reconnue, https:// est ajoute a l'ouverture.</t>
  </si>
  <si>
    <t xml:space="preserve">D03</t>
  </si>
  <si>
    <t xml:space="preserve">Saisie non exploitable</t>
  </si>
  <si>
    <t xml:space="preserve">Saisir un texte libre</t>
  </si>
  <si>
    <t xml:space="preserve">Le bouton Ouvrir reste masque. Aucune erreur.</t>
  </si>
  <si>
    <t xml:space="preserve">D04</t>
  </si>
  <si>
    <t xml:space="preserve">Ouverture du rendu</t>
  </si>
  <si>
    <t xml:space="preserve">Lien renseigne</t>
  </si>
  <si>
    <t xml:space="preserve">Activer Ouvrir</t>
  </si>
  <si>
    <t xml:space="preserve">Nouvel onglet sur la bonne adresse.</t>
  </si>
  <si>
    <t xml:space="preserve">D05</t>
  </si>
  <si>
    <t xml:space="preserve">Suppression d'un lien</t>
  </si>
  <si>
    <t xml:space="preserve">Vider le champ puis recharger</t>
  </si>
  <si>
    <t xml:space="preserve">Le champ reste vide. Le lien a bien ete retire cote serveur.</t>
  </si>
  <si>
    <t xml:space="preserve">D06</t>
  </si>
  <si>
    <t xml:space="preserve">Adresse tres longue</t>
  </si>
  <si>
    <t xml:space="preserve">Coller une URL de 300 caracteres</t>
  </si>
  <si>
    <t xml:space="preserve">Affichage tronque par points de suite. Aucun debordement de la carte.</t>
  </si>
  <si>
    <t xml:space="preserve">D07</t>
  </si>
  <si>
    <t xml:space="preserve">Protocole dangereux</t>
  </si>
  <si>
    <t xml:space="preserve">Coller javascript:alert(1)</t>
  </si>
  <si>
    <t xml:space="preserve">Valeur rejetee, aucun bouton Ouvrir, aucune execution.</t>
  </si>
  <si>
    <t xml:space="preserve">E01</t>
  </si>
  <si>
    <t xml:space="preserve">E. Partage</t>
  </si>
  <si>
    <t xml:space="preserve">Propagation vers la vue lecture</t>
  </si>
  <si>
    <t xml:space="preserve">Deux appareils : edition et lecture</t>
  </si>
  <si>
    <t xml:space="preserve">Cocher cote edition puis attendre 45 s</t>
  </si>
  <si>
    <t xml:space="preserve">La vue lecture se met a jour sans intervention.</t>
  </si>
  <si>
    <t xml:space="preserve">E02</t>
  </si>
  <si>
    <t xml:space="preserve">Coherence entre deux lecteurs</t>
  </si>
  <si>
    <t xml:space="preserve">Deux navigateurs en lecture</t>
  </si>
  <si>
    <t xml:space="preserve">Comparer apres rafraichissement</t>
  </si>
  <si>
    <t xml:space="preserve">Etat strictement identique.</t>
  </si>
  <si>
    <t xml:space="preserve">E03</t>
  </si>
  <si>
    <t xml:space="preserve">Isolation entre parcours</t>
  </si>
  <si>
    <t xml:space="preserve">Deux slugs distincts</t>
  </si>
  <si>
    <t xml:space="preserve">Modifier l'un puis consulter l'autre</t>
  </si>
  <si>
    <t xml:space="preserve">Aucune contamination entre les deux parcours.</t>
  </si>
  <si>
    <t xml:space="preserve">F01</t>
  </si>
  <si>
    <t xml:space="preserve">F. Contenu</t>
  </si>
  <si>
    <t xml:space="preserve">Ajout d'une tache</t>
  </si>
  <si>
    <t xml:space="preserve">Progression existante</t>
  </si>
  <si>
    <t xml:space="preserve">Ajouter une tache avec un nouvel identifiant puis deployer</t>
  </si>
  <si>
    <t xml:space="preserve">Les coches existantes restent en place. La nouvelle tache est decochee.</t>
  </si>
  <si>
    <t xml:space="preserve">F02</t>
  </si>
  <si>
    <t xml:space="preserve">Suppression d'une tache</t>
  </si>
  <si>
    <t xml:space="preserve">Retirer une tache puis deployer</t>
  </si>
  <si>
    <t xml:space="preserve">Les coches restantes sont inchangees. L'etape se recalcule correctement.</t>
  </si>
  <si>
    <t xml:space="preserve">F03</t>
  </si>
  <si>
    <t xml:space="preserve">Modification d'un libelle</t>
  </si>
  <si>
    <t xml:space="preserve">Changer un texte sans toucher a l'identifiant</t>
  </si>
  <si>
    <t xml:space="preserve">Aucun effet sur la progression.</t>
  </si>
  <si>
    <t xml:space="preserve">F04</t>
  </si>
  <si>
    <t xml:space="preserve">Ajout d'une etape</t>
  </si>
  <si>
    <t xml:space="preserve">Ajouter une etape puis deployer</t>
  </si>
  <si>
    <t xml:space="preserve">Le total du compteur passe de 6 a 7. La grille reste equilibree.</t>
  </si>
  <si>
    <t xml:space="preserve">F05</t>
  </si>
  <si>
    <t xml:space="preserve">Caracteres speciaux et accents</t>
  </si>
  <si>
    <t xml:space="preserve">Saisir apostrophes, accents et esperluettes dans un libelle</t>
  </si>
  <si>
    <t xml:space="preserve">Rendu correct, aucun caractere echappe visible a l'ecran.</t>
  </si>
  <si>
    <t xml:space="preserve">G01</t>
  </si>
  <si>
    <t xml:space="preserve">G. Affichage</t>
  </si>
  <si>
    <t xml:space="preserve">Mobile portrait</t>
  </si>
  <si>
    <t xml:space="preserve">Ouvrir en 390 x 844 puis 360 x 640</t>
  </si>
  <si>
    <t xml:space="preserve">Une colonne. Aucun defilement horizontal. Aucun texte tronque.</t>
  </si>
  <si>
    <t xml:space="preserve">G02</t>
  </si>
  <si>
    <t xml:space="preserve">Mobile paysage</t>
  </si>
  <si>
    <t xml:space="preserve">Basculer en paysage</t>
  </si>
  <si>
    <t xml:space="preserve">Mise en page coherente. La pastille ne masque aucun contenu utile.</t>
  </si>
  <si>
    <t xml:space="preserve">G03</t>
  </si>
  <si>
    <t xml:space="preserve">Tablette portrait</t>
  </si>
  <si>
    <t xml:space="preserve">Ouvrir en 768 x 1024</t>
  </si>
  <si>
    <t xml:space="preserve">Une seule colonne centree, largeur de carte plafonnee. Pas de carte etiree.</t>
  </si>
  <si>
    <t xml:space="preserve">G04</t>
  </si>
  <si>
    <t xml:space="preserve">Tablette paysage</t>
  </si>
  <si>
    <t xml:space="preserve">Ouvrir en 1024 x 768</t>
  </si>
  <si>
    <t xml:space="preserve">Deux cartes par ligne.</t>
  </si>
  <si>
    <t xml:space="preserve">G05</t>
  </si>
  <si>
    <t xml:space="preserve">Seuil de rupture</t>
  </si>
  <si>
    <t xml:space="preserve">Redimensionner autour de 880 px</t>
  </si>
  <si>
    <t xml:space="preserve">Bascule nette entre une et deux colonnes, sans etat intermediaire degrade.</t>
  </si>
  <si>
    <t xml:space="preserve">G06</t>
  </si>
  <si>
    <t xml:space="preserve">Grand ecran</t>
  </si>
  <si>
    <t xml:space="preserve">Ouvrir en 1920 x 1080</t>
  </si>
  <si>
    <t xml:space="preserve">Deux colonnes, cadre plafonne et centre. Aucun etalement sur toute la largeur.</t>
  </si>
  <si>
    <t xml:space="preserve">G07</t>
  </si>
  <si>
    <t xml:space="preserve">Hauteurs de cartes</t>
  </si>
  <si>
    <t xml:space="preserve">Comparer deux cartes voisines de longueurs differentes</t>
  </si>
  <si>
    <t xml:space="preserve">Cartes alignees en haut, hauteurs naturelles, aucune carte etiree.</t>
  </si>
  <si>
    <t xml:space="preserve">G08</t>
  </si>
  <si>
    <t xml:space="preserve">Rotation en cours d'usage</t>
  </si>
  <si>
    <t xml:space="preserve">Cases cochees</t>
  </si>
  <si>
    <t xml:space="preserve">Faire pivoter l'appareil</t>
  </si>
  <si>
    <t xml:space="preserve">Aucune perte d'etat, mise en page recomposee proprement.</t>
  </si>
  <si>
    <t xml:space="preserve">G09</t>
  </si>
  <si>
    <t xml:space="preserve">Zoom navigateur a 200 %</t>
  </si>
  <si>
    <t xml:space="preserve">Zoomer a 200 %</t>
  </si>
  <si>
    <t xml:space="preserve">Contenu lisible et complet, aucun chevauchement.</t>
  </si>
  <si>
    <t xml:space="preserve">G10</t>
  </si>
  <si>
    <t xml:space="preserve">Taille de texte systeme agrandie</t>
  </si>
  <si>
    <t xml:space="preserve">Regler la police systeme au maximum</t>
  </si>
  <si>
    <t xml:space="preserve">Aucun texte coupe, aucune carte cassee.</t>
  </si>
  <si>
    <t xml:space="preserve">G11</t>
  </si>
  <si>
    <t xml:space="preserve">Encoche et zone sure</t>
  </si>
  <si>
    <t xml:space="preserve">Observer haut et bas d'ecran</t>
  </si>
  <si>
    <t xml:space="preserve">Aucun contenu masque par l'encoche ou la barre de navigation.</t>
  </si>
  <si>
    <t xml:space="preserve">H01</t>
  </si>
  <si>
    <t xml:space="preserve">H. Accessibilite</t>
  </si>
  <si>
    <t xml:space="preserve">Parcours au clavier</t>
  </si>
  <si>
    <t xml:space="preserve">Tabuler du debut a la fin</t>
  </si>
  <si>
    <t xml:space="preserve">Chaque case et chaque champ est atteignable, dans l'ordre de lecture.</t>
  </si>
  <si>
    <t xml:space="preserve">H02</t>
  </si>
  <si>
    <t xml:space="preserve">Activation au clavier</t>
  </si>
  <si>
    <t xml:space="preserve">Focus sur une case</t>
  </si>
  <si>
    <t xml:space="preserve">Appuyer sur Espace</t>
  </si>
  <si>
    <t xml:space="preserve">La case bascule et l'enregistrement se declenche.</t>
  </si>
  <si>
    <t xml:space="preserve">H03</t>
  </si>
  <si>
    <t xml:space="preserve">Visibilite du focus</t>
  </si>
  <si>
    <t xml:space="preserve">Tabuler</t>
  </si>
  <si>
    <t xml:space="preserve">Anneau de focus vert nettement visible sur chaque element.</t>
  </si>
  <si>
    <t xml:space="preserve">H04</t>
  </si>
  <si>
    <t xml:space="preserve">Contraste des textes</t>
  </si>
  <si>
    <t xml:space="preserve">Mesurer titres, corps et libelles secondaires</t>
  </si>
  <si>
    <t xml:space="preserve">Au moins 4,5:1 pour le texte, 3:1 pour les elements d'interface.</t>
  </si>
  <si>
    <t xml:space="preserve">H05</t>
  </si>
  <si>
    <t xml:space="preserve">Taille des cibles tactiles</t>
  </si>
  <si>
    <t xml:space="preserve">Mesurer la hauteur d'une ligne de tache</t>
  </si>
  <si>
    <t xml:space="preserve">Au moins 24 px. Toute la ligne est cliquable, pas seulement le cercle.</t>
  </si>
  <si>
    <t xml:space="preserve">H06</t>
  </si>
  <si>
    <t xml:space="preserve">Animations reduites</t>
  </si>
  <si>
    <t xml:space="preserve">Activer la reduction des animations dans le systeme</t>
  </si>
  <si>
    <t xml:space="preserve">Fond fige, aucune transition. La page reste pleinement utilisable.</t>
  </si>
  <si>
    <t xml:space="preserve">H07</t>
  </si>
  <si>
    <t xml:space="preserve">Restitution vocale</t>
  </si>
  <si>
    <t xml:space="preserve">Parcourir avec VoiceOver ou NVDA</t>
  </si>
  <si>
    <t xml:space="preserve">Chaque case annonce son libelle et son etat coche ou non coche.</t>
  </si>
  <si>
    <t xml:space="preserve">H08</t>
  </si>
  <si>
    <t xml:space="preserve">Annonce des changements d'etat</t>
  </si>
  <si>
    <t xml:space="preserve">Cocher une case avec le lecteur d'ecran actif</t>
  </si>
  <si>
    <t xml:space="preserve">La pastille d'enregistrement est annoncee.</t>
  </si>
  <si>
    <t xml:space="preserve">I01</t>
  </si>
  <si>
    <t xml:space="preserve">I. Robustesse</t>
  </si>
  <si>
    <t xml:space="preserve">Injection dans le contenu</t>
  </si>
  <si>
    <t xml:space="preserve">Inserer une balise script dans un libelle de parcours.json</t>
  </si>
  <si>
    <t xml:space="preserve">Le texte s'affiche litteralement. Aucun script execute.</t>
  </si>
  <si>
    <t xml:space="preserve">I02</t>
  </si>
  <si>
    <t xml:space="preserve">Charge excessive</t>
  </si>
  <si>
    <t xml:space="preserve">POST d'un corps superieur a 32 Ko</t>
  </si>
  <si>
    <t xml:space="preserve">Reponse HTTP 413. Rien n'est ecrit.</t>
  </si>
  <si>
    <t xml:space="preserve">I03</t>
  </si>
  <si>
    <t xml:space="preserve">Corps de requete illisible</t>
  </si>
  <si>
    <t xml:space="preserve">POST avec un corps non JSON</t>
  </si>
  <si>
    <t xml:space="preserve">Reponse HTTP 400. Rien n'est ecrit.</t>
  </si>
  <si>
    <t xml:space="preserve">I04</t>
  </si>
  <si>
    <t xml:space="preserve">Absence d'indexation</t>
  </si>
  <si>
    <t xml:space="preserve">Inspecter les en-tetes de reponse</t>
  </si>
  <si>
    <t xml:space="preserve">En-tete X-Robots-Tag noindex, nofollow present.</t>
  </si>
  <si>
    <t xml:space="preserve">I05</t>
  </si>
  <si>
    <t xml:space="preserve">Ecritures concurrentes</t>
  </si>
  <si>
    <t xml:space="preserve">Deux onglets d'edition</t>
  </si>
  <si>
    <t xml:space="preserve">Cocher des cases differentes des deux cotes</t>
  </si>
  <si>
    <t xml:space="preserve">Derniere ecriture gagnante, sans corruption des donnees.</t>
  </si>
  <si>
    <t xml:space="preserve">J01</t>
  </si>
  <si>
    <t xml:space="preserve">J. Performance</t>
  </si>
  <si>
    <t xml:space="preserve">Fluidite du fond anime</t>
  </si>
  <si>
    <t xml:space="preserve">Observer 30 s sur un appareil milieu de gamme</t>
  </si>
  <si>
    <t xml:space="preserve">Aucune saccade perceptible. Pas de surchauffe notable.</t>
  </si>
  <si>
    <t xml:space="preserve">J02</t>
  </si>
  <si>
    <t xml:space="preserve">Temps d'affichage</t>
  </si>
  <si>
    <t xml:space="preserve">Connexion 4G bridee</t>
  </si>
  <si>
    <t xml:space="preserve">Charger la page</t>
  </si>
  <si>
    <t xml:space="preserve">Contenu lisible en moins de 2 s.</t>
  </si>
  <si>
    <t xml:space="preserve">J03</t>
  </si>
  <si>
    <t xml:space="preserve">Cout du flou au defilement</t>
  </si>
  <si>
    <t xml:space="preserve">Faire defiler rapidement</t>
  </si>
  <si>
    <t xml:space="preserve">Defilement fluide malgre le flou d'arriere-plan des cartes.</t>
  </si>
  <si>
    <t xml:space="preserve">Synthese de campagne</t>
  </si>
  <si>
    <t xml:space="preserve">Calculee automatiquement. Seule la cellule jaune est a renseigner.</t>
  </si>
  <si>
    <t xml:space="preserve">Campagne</t>
  </si>
  <si>
    <t xml:space="preserve">date / version deployee / testeur</t>
  </si>
  <si>
    <t xml:space="preserve">OK</t>
  </si>
  <si>
    <t xml:space="preserve">KO</t>
  </si>
  <si>
    <t xml:space="preserve">Non teste</t>
  </si>
  <si>
    <t xml:space="preserve">A traiter</t>
  </si>
  <si>
    <t xml:space="preserve">Couverture</t>
  </si>
  <si>
    <t xml:space="preserve">Total</t>
  </si>
  <si>
    <t xml:space="preserve">VERDICT</t>
  </si>
  <si>
    <t xml:space="preserve">Regle : un seul KO sur un cas P1 interdit la mise en production. Les KO P2 sont arbitres au cas par cas.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</si>
</sst>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\ 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1B23"/>
      <name val="Arial"/>
      <family val="0"/>
      <charset val="1"/>
    </font>
    <font>
      <sz val="9.5"/>
      <color rgb="FF666666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F1B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sz val="9"/>
      <color rgb="FFBFBFBF"/>
      <name val="Arial"/>
      <family val="0"/>
      <charset val="1"/>
    </font>
    <font>
      <b val="true"/>
      <sz val="9.5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DF5"/>
      </patternFill>
    </fill>
    <fill>
      <patternFill patternType="solid">
        <fgColor rgb="FF1F1B23"/>
        <bgColor rgb="FF333333"/>
      </patternFill>
    </fill>
    <fill>
      <patternFill patternType="solid">
        <fgColor rgb="FFFFFDF5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1B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DF5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ont>
        <name val="Arial"/>
        <charset val="1"/>
        <family val="0"/>
        <b val="1"/>
        <color rgb="FF3F6B14"/>
        <sz val="9"/>
      </font>
      <fill>
        <patternFill>
          <bgColor rgb="FFD6EFC0"/>
        </patternFill>
      </fill>
    </dxf>
    <dxf>
      <font>
        <name val="Arial"/>
        <charset val="1"/>
        <family val="0"/>
        <b val="1"/>
        <color rgb="FF9C1B0F"/>
        <sz val="9"/>
      </font>
      <fill>
        <patternFill>
          <bgColor rgb="FFF8CBC6"/>
        </patternFill>
      </fill>
    </dxf>
    <dxf>
      <font>
        <name val="Arial"/>
        <charset val="1"/>
        <family val="0"/>
        <color rgb="FF8A6100"/>
        <sz val="9"/>
      </font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3F6B14"/>
      <rgbColor rgb="FF000080"/>
      <rgbColor rgb="FF8A61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5"/>
      <rgbColor rgb="FFD6EFC0"/>
      <rgbColor rgb="FFFFFF99"/>
      <rgbColor rgb="FF99CCFF"/>
      <rgbColor rgb="FFFF99CC"/>
      <rgbColor rgb="FFCC99FF"/>
      <rgbColor rgb="FFF8CBC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F1B23"/>
      <rgbColor rgb="FF9C1B0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8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/>
      <c r="B4" s="4"/>
    </row>
    <row r="5" customFormat="false" ht="15.75" hidden="false" customHeight="true" outlineLevel="0" collapsed="false">
      <c r="A5" s="3" t="s">
        <v>2</v>
      </c>
      <c r="B5" s="4" t="s">
        <v>3</v>
      </c>
    </row>
    <row r="6" customFormat="false" ht="30" hidden="false" customHeight="true" outlineLevel="0" collapsed="false">
      <c r="A6" s="3" t="s">
        <v>4</v>
      </c>
      <c r="B6" s="4" t="s">
        <v>5</v>
      </c>
    </row>
    <row r="7" customFormat="false" ht="15.75" hidden="false" customHeight="true" outlineLevel="0" collapsed="false">
      <c r="A7" s="3" t="s">
        <v>6</v>
      </c>
      <c r="B7" s="4" t="s">
        <v>7</v>
      </c>
    </row>
    <row r="8" customFormat="false" ht="15.75" hidden="false" customHeight="true" outlineLevel="0" collapsed="false">
      <c r="A8" s="3"/>
      <c r="B8" s="4"/>
    </row>
    <row r="9" customFormat="false" ht="15.75" hidden="false" customHeight="true" outlineLevel="0" collapsed="false">
      <c r="A9" s="5" t="s">
        <v>8</v>
      </c>
      <c r="B9" s="6"/>
    </row>
    <row r="10" customFormat="false" ht="30" hidden="false" customHeight="true" outlineLevel="0" collapsed="false">
      <c r="A10" s="3" t="s">
        <v>9</v>
      </c>
      <c r="B10" s="4" t="s">
        <v>10</v>
      </c>
    </row>
    <row r="11" customFormat="false" ht="15.75" hidden="false" customHeight="true" outlineLevel="0" collapsed="false">
      <c r="A11" s="3" t="s">
        <v>11</v>
      </c>
      <c r="B11" s="4" t="s">
        <v>12</v>
      </c>
    </row>
    <row r="12" customFormat="false" ht="30" hidden="false" customHeight="true" outlineLevel="0" collapsed="false">
      <c r="A12" s="3" t="s">
        <v>13</v>
      </c>
      <c r="B12" s="4" t="s">
        <v>14</v>
      </c>
    </row>
    <row r="13" customFormat="false" ht="30" hidden="false" customHeight="true" outlineLevel="0" collapsed="false">
      <c r="A13" s="3" t="s">
        <v>15</v>
      </c>
      <c r="B13" s="4" t="s">
        <v>16</v>
      </c>
    </row>
    <row r="14" customFormat="false" ht="15.75" hidden="false" customHeight="true" outlineLevel="0" collapsed="false">
      <c r="A14" s="3" t="s">
        <v>17</v>
      </c>
      <c r="B14" s="4" t="s">
        <v>18</v>
      </c>
    </row>
    <row r="15" customFormat="false" ht="15.75" hidden="false" customHeight="true" outlineLevel="0" collapsed="false">
      <c r="A15" s="3" t="s">
        <v>19</v>
      </c>
      <c r="B15" s="4" t="s">
        <v>20</v>
      </c>
    </row>
    <row r="16" customFormat="false" ht="15.75" hidden="false" customHeight="true" outlineLevel="0" collapsed="false">
      <c r="A16" s="3"/>
      <c r="B16" s="4"/>
    </row>
    <row r="17" customFormat="false" ht="15.75" hidden="false" customHeight="true" outlineLevel="0" collapsed="false">
      <c r="A17" s="5" t="s">
        <v>21</v>
      </c>
      <c r="B17" s="6"/>
    </row>
    <row r="18" customFormat="false" ht="15.75" hidden="false" customHeight="true" outlineLevel="0" collapsed="false">
      <c r="A18" s="3" t="s">
        <v>22</v>
      </c>
      <c r="B18" s="4" t="s">
        <v>23</v>
      </c>
    </row>
    <row r="19" customFormat="false" ht="15.75" hidden="false" customHeight="true" outlineLevel="0" collapsed="false">
      <c r="A19" s="3" t="s">
        <v>24</v>
      </c>
      <c r="B19" s="4" t="s">
        <v>25</v>
      </c>
    </row>
    <row r="20" customFormat="false" ht="30" hidden="false" customHeight="true" outlineLevel="0" collapsed="false">
      <c r="A20" s="3" t="s">
        <v>26</v>
      </c>
      <c r="B20" s="4" t="s">
        <v>27</v>
      </c>
    </row>
    <row r="21" customFormat="false" ht="30" hidden="false" customHeight="true" outlineLevel="0" collapsed="false">
      <c r="A21" s="3" t="s">
        <v>28</v>
      </c>
      <c r="B21" s="4" t="s">
        <v>29</v>
      </c>
    </row>
    <row r="22" customFormat="false" ht="15.75" hidden="false" customHeight="true" outlineLevel="0" collapsed="false">
      <c r="A22" s="3"/>
      <c r="B22" s="4"/>
    </row>
    <row r="23" customFormat="false" ht="15.75" hidden="false" customHeight="true" outlineLevel="0" collapsed="false">
      <c r="A23" s="5" t="s">
        <v>30</v>
      </c>
      <c r="B23" s="6"/>
    </row>
    <row r="24" customFormat="false" ht="15.75" hidden="false" customHeight="true" outlineLevel="0" collapsed="false">
      <c r="A24" s="3" t="s">
        <v>31</v>
      </c>
      <c r="B24" s="4" t="s">
        <v>32</v>
      </c>
    </row>
    <row r="25" customFormat="false" ht="15.75" hidden="false" customHeight="true" outlineLevel="0" collapsed="false">
      <c r="A25" s="3" t="s">
        <v>33</v>
      </c>
      <c r="B25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15"/>
    <col collapsed="false" customWidth="true" hidden="false" outlineLevel="0" max="6" min="6" style="0" width="8"/>
    <col collapsed="false" customWidth="true" hidden="false" outlineLevel="0" max="7" min="7" style="0" width="46"/>
  </cols>
  <sheetData>
    <row r="1" customFormat="false" ht="21.75" hidden="false" customHeight="tru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30" hidden="false" customHeight="tru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43</v>
      </c>
    </row>
    <row r="5" customFormat="false" ht="30" hidden="false" customHeight="true" outlineLevel="0" collapsed="false">
      <c r="A5" s="8" t="s">
        <v>44</v>
      </c>
      <c r="B5" s="9" t="s">
        <v>45</v>
      </c>
      <c r="C5" s="9" t="s">
        <v>46</v>
      </c>
      <c r="D5" s="9" t="s">
        <v>47</v>
      </c>
      <c r="E5" s="9" t="s">
        <v>48</v>
      </c>
      <c r="F5" s="10" t="s">
        <v>31</v>
      </c>
      <c r="G5" s="11" t="s">
        <v>49</v>
      </c>
    </row>
    <row r="6" customFormat="false" ht="30" hidden="false" customHeight="true" outlineLevel="0" collapsed="false">
      <c r="A6" s="8" t="s">
        <v>50</v>
      </c>
      <c r="B6" s="9" t="s">
        <v>45</v>
      </c>
      <c r="C6" s="9" t="s">
        <v>51</v>
      </c>
      <c r="D6" s="9" t="s">
        <v>52</v>
      </c>
      <c r="E6" s="9" t="s">
        <v>53</v>
      </c>
      <c r="F6" s="10" t="s">
        <v>31</v>
      </c>
      <c r="G6" s="11" t="s">
        <v>54</v>
      </c>
    </row>
    <row r="7" customFormat="false" ht="30" hidden="false" customHeight="true" outlineLevel="0" collapsed="false">
      <c r="A7" s="8" t="s">
        <v>55</v>
      </c>
      <c r="B7" s="9" t="s">
        <v>45</v>
      </c>
      <c r="C7" s="9" t="s">
        <v>56</v>
      </c>
      <c r="D7" s="9" t="s">
        <v>52</v>
      </c>
      <c r="E7" s="9" t="s">
        <v>57</v>
      </c>
      <c r="F7" s="12" t="s">
        <v>33</v>
      </c>
      <c r="G7" s="11" t="s">
        <v>58</v>
      </c>
    </row>
    <row r="8" customFormat="false" ht="30" hidden="false" customHeight="true" outlineLevel="0" collapsed="false">
      <c r="A8" s="8" t="s">
        <v>59</v>
      </c>
      <c r="B8" s="9" t="s">
        <v>60</v>
      </c>
      <c r="C8" s="9" t="s">
        <v>61</v>
      </c>
      <c r="D8" s="9" t="s">
        <v>47</v>
      </c>
      <c r="E8" s="9" t="s">
        <v>62</v>
      </c>
      <c r="F8" s="10" t="s">
        <v>31</v>
      </c>
      <c r="G8" s="11" t="s">
        <v>63</v>
      </c>
    </row>
    <row r="9" customFormat="false" ht="30" hidden="false" customHeight="true" outlineLevel="0" collapsed="false">
      <c r="A9" s="8" t="s">
        <v>64</v>
      </c>
      <c r="B9" s="9" t="s">
        <v>60</v>
      </c>
      <c r="C9" s="9" t="s">
        <v>65</v>
      </c>
      <c r="D9" s="9" t="s">
        <v>47</v>
      </c>
      <c r="E9" s="9" t="s">
        <v>62</v>
      </c>
      <c r="F9" s="10" t="s">
        <v>31</v>
      </c>
      <c r="G9" s="11" t="s">
        <v>66</v>
      </c>
    </row>
    <row r="10" customFormat="false" ht="30" hidden="false" customHeight="true" outlineLevel="0" collapsed="false">
      <c r="A10" s="8" t="s">
        <v>67</v>
      </c>
      <c r="B10" s="9" t="s">
        <v>68</v>
      </c>
      <c r="C10" s="9" t="s">
        <v>69</v>
      </c>
      <c r="D10" s="9" t="s">
        <v>52</v>
      </c>
      <c r="E10" s="9" t="s">
        <v>70</v>
      </c>
      <c r="F10" s="10" t="s">
        <v>31</v>
      </c>
      <c r="G10" s="11" t="s">
        <v>71</v>
      </c>
    </row>
    <row r="11" customFormat="false" ht="30" hidden="false" customHeight="true" outlineLevel="0" collapsed="false">
      <c r="A11" s="8" t="s">
        <v>72</v>
      </c>
      <c r="B11" s="9" t="s">
        <v>68</v>
      </c>
      <c r="C11" s="9" t="s">
        <v>73</v>
      </c>
      <c r="D11" s="9" t="s">
        <v>47</v>
      </c>
      <c r="E11" s="9" t="s">
        <v>74</v>
      </c>
      <c r="F11" s="10" t="s">
        <v>31</v>
      </c>
      <c r="G11" s="11" t="s">
        <v>75</v>
      </c>
    </row>
    <row r="12" customFormat="false" ht="30" hidden="false" customHeight="true" outlineLevel="0" collapsed="false">
      <c r="A12" s="8" t="s">
        <v>76</v>
      </c>
      <c r="B12" s="9" t="s">
        <v>68</v>
      </c>
      <c r="C12" s="9" t="s">
        <v>77</v>
      </c>
      <c r="D12" s="9" t="s">
        <v>78</v>
      </c>
      <c r="E12" s="9" t="s">
        <v>79</v>
      </c>
      <c r="F12" s="12" t="s">
        <v>33</v>
      </c>
      <c r="G12" s="11" t="s">
        <v>80</v>
      </c>
    </row>
    <row r="13" customFormat="false" ht="30" hidden="false" customHeight="true" outlineLevel="0" collapsed="false">
      <c r="A13" s="8" t="s">
        <v>81</v>
      </c>
      <c r="B13" s="9" t="s">
        <v>68</v>
      </c>
      <c r="C13" s="9" t="s">
        <v>73</v>
      </c>
      <c r="D13" s="9" t="s">
        <v>82</v>
      </c>
      <c r="E13" s="9" t="s">
        <v>83</v>
      </c>
      <c r="F13" s="12" t="s">
        <v>33</v>
      </c>
      <c r="G13" s="11" t="s">
        <v>84</v>
      </c>
    </row>
    <row r="15" customFormat="false" ht="15" hidden="false" customHeight="false" outlineLevel="0" collapsed="false">
      <c r="A15" s="1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9"/>
    <col collapsed="false" customWidth="true" hidden="false" outlineLevel="0" max="3" min="3" style="0" width="30"/>
    <col collapsed="false" customWidth="true" hidden="false" outlineLevel="0" max="4" min="4" style="0" width="23"/>
    <col collapsed="false" customWidth="true" hidden="false" outlineLevel="0" max="5" min="5" style="0" width="40"/>
    <col collapsed="false" customWidth="true" hidden="false" outlineLevel="0" max="6" min="6" style="0" width="44"/>
    <col collapsed="false" customWidth="true" hidden="false" outlineLevel="0" max="7" min="7" style="0" width="6"/>
    <col collapsed="false" customWidth="true" hidden="false" outlineLevel="0" max="10" min="8" style="0" width="10"/>
    <col collapsed="false" customWidth="true" hidden="false" outlineLevel="0" max="11" min="11" style="0" width="34"/>
  </cols>
  <sheetData>
    <row r="1" customFormat="false" ht="21.75" hidden="false" customHeight="tru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30" hidden="false" customHeight="true" outlineLevel="0" collapsed="false">
      <c r="A4" s="7" t="s">
        <v>37</v>
      </c>
      <c r="B4" s="7" t="s">
        <v>88</v>
      </c>
      <c r="C4" s="7" t="s">
        <v>86</v>
      </c>
      <c r="D4" s="7" t="s">
        <v>89</v>
      </c>
      <c r="E4" s="7" t="s">
        <v>90</v>
      </c>
      <c r="F4" s="7" t="s">
        <v>91</v>
      </c>
      <c r="G4" s="7" t="s">
        <v>42</v>
      </c>
      <c r="H4" s="7" t="s">
        <v>45</v>
      </c>
      <c r="I4" s="7" t="s">
        <v>60</v>
      </c>
      <c r="J4" s="7" t="s">
        <v>68</v>
      </c>
      <c r="K4" s="7" t="s">
        <v>92</v>
      </c>
    </row>
    <row r="5" customFormat="false" ht="42" hidden="false" customHeight="true" outlineLevel="0" collapsed="false">
      <c r="A5" s="14" t="s">
        <v>93</v>
      </c>
      <c r="B5" s="15" t="s">
        <v>94</v>
      </c>
      <c r="C5" s="16" t="s">
        <v>95</v>
      </c>
      <c r="D5" s="16" t="s">
        <v>96</v>
      </c>
      <c r="E5" s="16" t="s">
        <v>97</v>
      </c>
      <c r="F5" s="16" t="s">
        <v>98</v>
      </c>
      <c r="G5" s="17" t="s">
        <v>31</v>
      </c>
      <c r="H5" s="18"/>
      <c r="I5" s="18"/>
      <c r="J5" s="18"/>
      <c r="K5" s="16"/>
    </row>
    <row r="6" customFormat="false" ht="42" hidden="false" customHeight="true" outlineLevel="0" collapsed="false">
      <c r="A6" s="14" t="s">
        <v>99</v>
      </c>
      <c r="B6" s="15" t="s">
        <v>94</v>
      </c>
      <c r="C6" s="16" t="s">
        <v>100</v>
      </c>
      <c r="D6" s="16" t="s">
        <v>101</v>
      </c>
      <c r="E6" s="16" t="s">
        <v>102</v>
      </c>
      <c r="F6" s="16" t="s">
        <v>103</v>
      </c>
      <c r="G6" s="17" t="s">
        <v>31</v>
      </c>
      <c r="H6" s="19" t="s">
        <v>104</v>
      </c>
      <c r="I6" s="19" t="s">
        <v>104</v>
      </c>
      <c r="J6" s="18"/>
      <c r="K6" s="16"/>
    </row>
    <row r="7" customFormat="false" ht="42" hidden="false" customHeight="true" outlineLevel="0" collapsed="false">
      <c r="A7" s="14" t="s">
        <v>105</v>
      </c>
      <c r="B7" s="15" t="s">
        <v>94</v>
      </c>
      <c r="C7" s="16" t="s">
        <v>106</v>
      </c>
      <c r="D7" s="16" t="s">
        <v>107</v>
      </c>
      <c r="E7" s="16" t="s">
        <v>108</v>
      </c>
      <c r="F7" s="16" t="s">
        <v>109</v>
      </c>
      <c r="G7" s="17" t="s">
        <v>31</v>
      </c>
      <c r="H7" s="18"/>
      <c r="I7" s="18"/>
      <c r="J7" s="18"/>
      <c r="K7" s="16"/>
    </row>
    <row r="8" customFormat="false" ht="42" hidden="false" customHeight="true" outlineLevel="0" collapsed="false">
      <c r="A8" s="14" t="s">
        <v>110</v>
      </c>
      <c r="B8" s="15" t="s">
        <v>94</v>
      </c>
      <c r="C8" s="16" t="s">
        <v>111</v>
      </c>
      <c r="D8" s="16" t="s">
        <v>112</v>
      </c>
      <c r="E8" s="16" t="s">
        <v>113</v>
      </c>
      <c r="F8" s="16" t="s">
        <v>114</v>
      </c>
      <c r="G8" s="20" t="s">
        <v>33</v>
      </c>
      <c r="H8" s="19" t="s">
        <v>104</v>
      </c>
      <c r="I8" s="19" t="s">
        <v>104</v>
      </c>
      <c r="J8" s="18"/>
      <c r="K8" s="16"/>
    </row>
    <row r="9" customFormat="false" ht="42" hidden="false" customHeight="true" outlineLevel="0" collapsed="false">
      <c r="A9" s="14" t="s">
        <v>115</v>
      </c>
      <c r="B9" s="15" t="s">
        <v>94</v>
      </c>
      <c r="C9" s="16" t="s">
        <v>116</v>
      </c>
      <c r="D9" s="16" t="s">
        <v>117</v>
      </c>
      <c r="E9" s="16" t="s">
        <v>118</v>
      </c>
      <c r="F9" s="16" t="s">
        <v>119</v>
      </c>
      <c r="G9" s="17" t="s">
        <v>31</v>
      </c>
      <c r="H9" s="19" t="s">
        <v>104</v>
      </c>
      <c r="I9" s="19" t="s">
        <v>104</v>
      </c>
      <c r="J9" s="18"/>
      <c r="K9" s="16"/>
    </row>
    <row r="10" customFormat="false" ht="42" hidden="false" customHeight="true" outlineLevel="0" collapsed="false">
      <c r="A10" s="14" t="s">
        <v>120</v>
      </c>
      <c r="B10" s="15" t="s">
        <v>94</v>
      </c>
      <c r="C10" s="16" t="s">
        <v>121</v>
      </c>
      <c r="D10" s="16" t="s">
        <v>122</v>
      </c>
      <c r="E10" s="16" t="s">
        <v>113</v>
      </c>
      <c r="F10" s="16" t="s">
        <v>123</v>
      </c>
      <c r="G10" s="20" t="s">
        <v>33</v>
      </c>
      <c r="H10" s="19" t="s">
        <v>104</v>
      </c>
      <c r="I10" s="19" t="s">
        <v>104</v>
      </c>
      <c r="J10" s="18"/>
      <c r="K10" s="16"/>
    </row>
    <row r="11" customFormat="false" ht="42" hidden="false" customHeight="true" outlineLevel="0" collapsed="false">
      <c r="A11" s="14" t="s">
        <v>124</v>
      </c>
      <c r="B11" s="15" t="s">
        <v>125</v>
      </c>
      <c r="C11" s="16" t="s">
        <v>126</v>
      </c>
      <c r="D11" s="16" t="s">
        <v>127</v>
      </c>
      <c r="E11" s="16" t="s">
        <v>128</v>
      </c>
      <c r="F11" s="16" t="s">
        <v>129</v>
      </c>
      <c r="G11" s="17" t="s">
        <v>31</v>
      </c>
      <c r="H11" s="18"/>
      <c r="I11" s="18"/>
      <c r="J11" s="18"/>
      <c r="K11" s="16"/>
    </row>
    <row r="12" customFormat="false" ht="42" hidden="false" customHeight="true" outlineLevel="0" collapsed="false">
      <c r="A12" s="14" t="s">
        <v>130</v>
      </c>
      <c r="B12" s="15" t="s">
        <v>125</v>
      </c>
      <c r="C12" s="16" t="s">
        <v>131</v>
      </c>
      <c r="D12" s="16" t="s">
        <v>127</v>
      </c>
      <c r="E12" s="16" t="s">
        <v>132</v>
      </c>
      <c r="F12" s="16" t="s">
        <v>133</v>
      </c>
      <c r="G12" s="17" t="s">
        <v>31</v>
      </c>
      <c r="H12" s="18"/>
      <c r="I12" s="18"/>
      <c r="J12" s="18"/>
      <c r="K12" s="16"/>
    </row>
    <row r="13" customFormat="false" ht="42" hidden="false" customHeight="true" outlineLevel="0" collapsed="false">
      <c r="A13" s="14" t="s">
        <v>134</v>
      </c>
      <c r="B13" s="15" t="s">
        <v>125</v>
      </c>
      <c r="C13" s="16" t="s">
        <v>135</v>
      </c>
      <c r="D13" s="16" t="s">
        <v>127</v>
      </c>
      <c r="E13" s="16" t="s">
        <v>136</v>
      </c>
      <c r="F13" s="16" t="s">
        <v>137</v>
      </c>
      <c r="G13" s="20" t="s">
        <v>33</v>
      </c>
      <c r="H13" s="18"/>
      <c r="I13" s="18"/>
      <c r="J13" s="18"/>
      <c r="K13" s="16"/>
    </row>
    <row r="14" customFormat="false" ht="42" hidden="false" customHeight="true" outlineLevel="0" collapsed="false">
      <c r="A14" s="14" t="s">
        <v>138</v>
      </c>
      <c r="B14" s="15" t="s">
        <v>125</v>
      </c>
      <c r="C14" s="16" t="s">
        <v>139</v>
      </c>
      <c r="D14" s="16" t="s">
        <v>140</v>
      </c>
      <c r="E14" s="16" t="s">
        <v>141</v>
      </c>
      <c r="F14" s="16" t="s">
        <v>142</v>
      </c>
      <c r="G14" s="17" t="s">
        <v>31</v>
      </c>
      <c r="H14" s="18"/>
      <c r="I14" s="18"/>
      <c r="J14" s="18"/>
      <c r="K14" s="16"/>
    </row>
    <row r="15" customFormat="false" ht="42" hidden="false" customHeight="true" outlineLevel="0" collapsed="false">
      <c r="A15" s="14" t="s">
        <v>143</v>
      </c>
      <c r="B15" s="15" t="s">
        <v>125</v>
      </c>
      <c r="C15" s="16" t="s">
        <v>144</v>
      </c>
      <c r="D15" s="16" t="s">
        <v>145</v>
      </c>
      <c r="E15" s="16" t="s">
        <v>141</v>
      </c>
      <c r="F15" s="16" t="s">
        <v>146</v>
      </c>
      <c r="G15" s="17" t="s">
        <v>31</v>
      </c>
      <c r="H15" s="19" t="s">
        <v>104</v>
      </c>
      <c r="I15" s="19" t="s">
        <v>104</v>
      </c>
      <c r="J15" s="18"/>
      <c r="K15" s="16"/>
    </row>
    <row r="16" customFormat="false" ht="42" hidden="false" customHeight="true" outlineLevel="0" collapsed="false">
      <c r="A16" s="14" t="s">
        <v>147</v>
      </c>
      <c r="B16" s="15" t="s">
        <v>125</v>
      </c>
      <c r="C16" s="16" t="s">
        <v>148</v>
      </c>
      <c r="D16" s="16" t="s">
        <v>149</v>
      </c>
      <c r="E16" s="16" t="s">
        <v>150</v>
      </c>
      <c r="F16" s="16" t="s">
        <v>151</v>
      </c>
      <c r="G16" s="17" t="s">
        <v>31</v>
      </c>
      <c r="H16" s="19" t="s">
        <v>104</v>
      </c>
      <c r="I16" s="19" t="s">
        <v>104</v>
      </c>
      <c r="J16" s="18"/>
      <c r="K16" s="16"/>
    </row>
    <row r="17" customFormat="false" ht="42" hidden="false" customHeight="true" outlineLevel="0" collapsed="false">
      <c r="A17" s="14" t="s">
        <v>152</v>
      </c>
      <c r="B17" s="15" t="s">
        <v>125</v>
      </c>
      <c r="C17" s="16" t="s">
        <v>153</v>
      </c>
      <c r="D17" s="16" t="s">
        <v>101</v>
      </c>
      <c r="E17" s="16" t="s">
        <v>154</v>
      </c>
      <c r="F17" s="16" t="s">
        <v>155</v>
      </c>
      <c r="G17" s="20" t="s">
        <v>33</v>
      </c>
      <c r="H17" s="19" t="s">
        <v>104</v>
      </c>
      <c r="I17" s="19" t="s">
        <v>104</v>
      </c>
      <c r="J17" s="18"/>
      <c r="K17" s="16"/>
    </row>
    <row r="18" customFormat="false" ht="42" hidden="false" customHeight="true" outlineLevel="0" collapsed="false">
      <c r="A18" s="14" t="s">
        <v>156</v>
      </c>
      <c r="B18" s="15" t="s">
        <v>157</v>
      </c>
      <c r="C18" s="16" t="s">
        <v>158</v>
      </c>
      <c r="D18" s="16" t="s">
        <v>159</v>
      </c>
      <c r="E18" s="16" t="s">
        <v>141</v>
      </c>
      <c r="F18" s="16" t="s">
        <v>160</v>
      </c>
      <c r="G18" s="17" t="s">
        <v>31</v>
      </c>
      <c r="H18" s="18"/>
      <c r="I18" s="18"/>
      <c r="J18" s="18"/>
      <c r="K18" s="16"/>
    </row>
    <row r="19" customFormat="false" ht="42" hidden="false" customHeight="true" outlineLevel="0" collapsed="false">
      <c r="A19" s="14" t="s">
        <v>161</v>
      </c>
      <c r="B19" s="15" t="s">
        <v>157</v>
      </c>
      <c r="C19" s="16" t="s">
        <v>162</v>
      </c>
      <c r="D19" s="16" t="s">
        <v>163</v>
      </c>
      <c r="E19" s="16" t="s">
        <v>164</v>
      </c>
      <c r="F19" s="16" t="s">
        <v>165</v>
      </c>
      <c r="G19" s="17" t="s">
        <v>31</v>
      </c>
      <c r="H19" s="18"/>
      <c r="I19" s="18"/>
      <c r="J19" s="18"/>
      <c r="K19" s="16"/>
    </row>
    <row r="20" customFormat="false" ht="42" hidden="false" customHeight="true" outlineLevel="0" collapsed="false">
      <c r="A20" s="14" t="s">
        <v>166</v>
      </c>
      <c r="B20" s="15" t="s">
        <v>157</v>
      </c>
      <c r="C20" s="16" t="s">
        <v>167</v>
      </c>
      <c r="D20" s="16" t="s">
        <v>159</v>
      </c>
      <c r="E20" s="16" t="s">
        <v>168</v>
      </c>
      <c r="F20" s="16" t="s">
        <v>169</v>
      </c>
      <c r="G20" s="17" t="s">
        <v>31</v>
      </c>
      <c r="H20" s="18"/>
      <c r="I20" s="18"/>
      <c r="J20" s="18"/>
      <c r="K20" s="16"/>
    </row>
    <row r="21" customFormat="false" ht="42" hidden="false" customHeight="true" outlineLevel="0" collapsed="false">
      <c r="A21" s="14" t="s">
        <v>170</v>
      </c>
      <c r="B21" s="15" t="s">
        <v>157</v>
      </c>
      <c r="C21" s="16" t="s">
        <v>171</v>
      </c>
      <c r="D21" s="16" t="s">
        <v>172</v>
      </c>
      <c r="E21" s="16" t="s">
        <v>162</v>
      </c>
      <c r="F21" s="16" t="s">
        <v>173</v>
      </c>
      <c r="G21" s="17" t="s">
        <v>31</v>
      </c>
      <c r="H21" s="18"/>
      <c r="I21" s="18"/>
      <c r="J21" s="18"/>
      <c r="K21" s="16"/>
    </row>
    <row r="22" customFormat="false" ht="42" hidden="false" customHeight="true" outlineLevel="0" collapsed="false">
      <c r="A22" s="14" t="s">
        <v>174</v>
      </c>
      <c r="B22" s="15" t="s">
        <v>157</v>
      </c>
      <c r="C22" s="16" t="s">
        <v>175</v>
      </c>
      <c r="D22" s="16" t="s">
        <v>176</v>
      </c>
      <c r="E22" s="16" t="s">
        <v>177</v>
      </c>
      <c r="F22" s="16" t="s">
        <v>178</v>
      </c>
      <c r="G22" s="20" t="s">
        <v>33</v>
      </c>
      <c r="H22" s="18"/>
      <c r="I22" s="18"/>
      <c r="J22" s="18"/>
      <c r="K22" s="16"/>
    </row>
    <row r="23" customFormat="false" ht="42" hidden="false" customHeight="true" outlineLevel="0" collapsed="false">
      <c r="A23" s="14" t="s">
        <v>179</v>
      </c>
      <c r="B23" s="15" t="s">
        <v>157</v>
      </c>
      <c r="C23" s="16" t="s">
        <v>180</v>
      </c>
      <c r="D23" s="16" t="s">
        <v>181</v>
      </c>
      <c r="E23" s="16" t="s">
        <v>182</v>
      </c>
      <c r="F23" s="16" t="s">
        <v>183</v>
      </c>
      <c r="G23" s="20" t="s">
        <v>33</v>
      </c>
      <c r="H23" s="18"/>
      <c r="I23" s="18"/>
      <c r="J23" s="18"/>
      <c r="K23" s="16"/>
    </row>
    <row r="24" customFormat="false" ht="42" hidden="false" customHeight="true" outlineLevel="0" collapsed="false">
      <c r="A24" s="14" t="s">
        <v>184</v>
      </c>
      <c r="B24" s="15" t="s">
        <v>157</v>
      </c>
      <c r="C24" s="16" t="s">
        <v>185</v>
      </c>
      <c r="D24" s="16" t="s">
        <v>186</v>
      </c>
      <c r="E24" s="16" t="s">
        <v>187</v>
      </c>
      <c r="F24" s="16" t="s">
        <v>188</v>
      </c>
      <c r="G24" s="17" t="s">
        <v>31</v>
      </c>
      <c r="H24" s="18"/>
      <c r="I24" s="18"/>
      <c r="J24" s="18"/>
      <c r="K24" s="16"/>
    </row>
    <row r="25" customFormat="false" ht="42" hidden="false" customHeight="true" outlineLevel="0" collapsed="false">
      <c r="A25" s="14" t="s">
        <v>189</v>
      </c>
      <c r="B25" s="15" t="s">
        <v>157</v>
      </c>
      <c r="C25" s="16" t="s">
        <v>190</v>
      </c>
      <c r="D25" s="16" t="s">
        <v>191</v>
      </c>
      <c r="E25" s="16" t="s">
        <v>192</v>
      </c>
      <c r="F25" s="16" t="s">
        <v>193</v>
      </c>
      <c r="G25" s="20" t="s">
        <v>33</v>
      </c>
      <c r="H25" s="19" t="s">
        <v>104</v>
      </c>
      <c r="I25" s="19" t="s">
        <v>104</v>
      </c>
      <c r="J25" s="18"/>
      <c r="K25" s="16"/>
    </row>
    <row r="26" customFormat="false" ht="42" hidden="false" customHeight="true" outlineLevel="0" collapsed="false">
      <c r="A26" s="14" t="s">
        <v>194</v>
      </c>
      <c r="B26" s="15" t="s">
        <v>195</v>
      </c>
      <c r="C26" s="16" t="s">
        <v>196</v>
      </c>
      <c r="D26" s="16" t="s">
        <v>159</v>
      </c>
      <c r="E26" s="16" t="s">
        <v>197</v>
      </c>
      <c r="F26" s="16" t="s">
        <v>198</v>
      </c>
      <c r="G26" s="17" t="s">
        <v>31</v>
      </c>
      <c r="H26" s="18"/>
      <c r="I26" s="18"/>
      <c r="J26" s="18"/>
      <c r="K26" s="16"/>
    </row>
    <row r="27" customFormat="false" ht="42" hidden="false" customHeight="true" outlineLevel="0" collapsed="false">
      <c r="A27" s="14" t="s">
        <v>199</v>
      </c>
      <c r="B27" s="15" t="s">
        <v>195</v>
      </c>
      <c r="C27" s="16" t="s">
        <v>200</v>
      </c>
      <c r="D27" s="16" t="s">
        <v>159</v>
      </c>
      <c r="E27" s="16" t="s">
        <v>201</v>
      </c>
      <c r="F27" s="16" t="s">
        <v>202</v>
      </c>
      <c r="G27" s="17" t="s">
        <v>31</v>
      </c>
      <c r="H27" s="18"/>
      <c r="I27" s="18"/>
      <c r="J27" s="18"/>
      <c r="K27" s="16"/>
    </row>
    <row r="28" customFormat="false" ht="42" hidden="false" customHeight="true" outlineLevel="0" collapsed="false">
      <c r="A28" s="14" t="s">
        <v>203</v>
      </c>
      <c r="B28" s="15" t="s">
        <v>195</v>
      </c>
      <c r="C28" s="16" t="s">
        <v>204</v>
      </c>
      <c r="D28" s="16" t="s">
        <v>159</v>
      </c>
      <c r="E28" s="16" t="s">
        <v>205</v>
      </c>
      <c r="F28" s="16" t="s">
        <v>206</v>
      </c>
      <c r="G28" s="20" t="s">
        <v>33</v>
      </c>
      <c r="H28" s="18"/>
      <c r="I28" s="18"/>
      <c r="J28" s="18"/>
      <c r="K28" s="16"/>
    </row>
    <row r="29" customFormat="false" ht="42" hidden="false" customHeight="true" outlineLevel="0" collapsed="false">
      <c r="A29" s="14" t="s">
        <v>207</v>
      </c>
      <c r="B29" s="15" t="s">
        <v>195</v>
      </c>
      <c r="C29" s="16" t="s">
        <v>208</v>
      </c>
      <c r="D29" s="16" t="s">
        <v>209</v>
      </c>
      <c r="E29" s="16" t="s">
        <v>210</v>
      </c>
      <c r="F29" s="16" t="s">
        <v>211</v>
      </c>
      <c r="G29" s="17" t="s">
        <v>31</v>
      </c>
      <c r="H29" s="18"/>
      <c r="I29" s="18"/>
      <c r="J29" s="18"/>
      <c r="K29" s="16"/>
    </row>
    <row r="30" customFormat="false" ht="42" hidden="false" customHeight="true" outlineLevel="0" collapsed="false">
      <c r="A30" s="14" t="s">
        <v>212</v>
      </c>
      <c r="B30" s="15" t="s">
        <v>195</v>
      </c>
      <c r="C30" s="16" t="s">
        <v>213</v>
      </c>
      <c r="D30" s="16" t="s">
        <v>209</v>
      </c>
      <c r="E30" s="16" t="s">
        <v>214</v>
      </c>
      <c r="F30" s="16" t="s">
        <v>215</v>
      </c>
      <c r="G30" s="17" t="s">
        <v>31</v>
      </c>
      <c r="H30" s="18"/>
      <c r="I30" s="18"/>
      <c r="J30" s="18"/>
      <c r="K30" s="16"/>
    </row>
    <row r="31" customFormat="false" ht="42" hidden="false" customHeight="true" outlineLevel="0" collapsed="false">
      <c r="A31" s="14" t="s">
        <v>216</v>
      </c>
      <c r="B31" s="15" t="s">
        <v>195</v>
      </c>
      <c r="C31" s="16" t="s">
        <v>217</v>
      </c>
      <c r="D31" s="16" t="s">
        <v>101</v>
      </c>
      <c r="E31" s="16" t="s">
        <v>218</v>
      </c>
      <c r="F31" s="16" t="s">
        <v>219</v>
      </c>
      <c r="G31" s="20" t="s">
        <v>33</v>
      </c>
      <c r="H31" s="18"/>
      <c r="I31" s="18"/>
      <c r="J31" s="18"/>
      <c r="K31" s="16"/>
    </row>
    <row r="32" customFormat="false" ht="42" hidden="false" customHeight="true" outlineLevel="0" collapsed="false">
      <c r="A32" s="14" t="s">
        <v>220</v>
      </c>
      <c r="B32" s="15" t="s">
        <v>195</v>
      </c>
      <c r="C32" s="16" t="s">
        <v>221</v>
      </c>
      <c r="D32" s="16" t="s">
        <v>101</v>
      </c>
      <c r="E32" s="16" t="s">
        <v>222</v>
      </c>
      <c r="F32" s="16" t="s">
        <v>223</v>
      </c>
      <c r="G32" s="17" t="s">
        <v>31</v>
      </c>
      <c r="H32" s="19" t="s">
        <v>104</v>
      </c>
      <c r="I32" s="19" t="s">
        <v>104</v>
      </c>
      <c r="J32" s="18"/>
      <c r="K32" s="16"/>
    </row>
    <row r="33" customFormat="false" ht="42" hidden="false" customHeight="true" outlineLevel="0" collapsed="false">
      <c r="A33" s="14" t="s">
        <v>224</v>
      </c>
      <c r="B33" s="15" t="s">
        <v>225</v>
      </c>
      <c r="C33" s="16" t="s">
        <v>226</v>
      </c>
      <c r="D33" s="16" t="s">
        <v>227</v>
      </c>
      <c r="E33" s="16" t="s">
        <v>228</v>
      </c>
      <c r="F33" s="16" t="s">
        <v>229</v>
      </c>
      <c r="G33" s="17" t="s">
        <v>31</v>
      </c>
      <c r="H33" s="18"/>
      <c r="I33" s="18"/>
      <c r="J33" s="18"/>
      <c r="K33" s="16"/>
    </row>
    <row r="34" customFormat="false" ht="42" hidden="false" customHeight="true" outlineLevel="0" collapsed="false">
      <c r="A34" s="14" t="s">
        <v>230</v>
      </c>
      <c r="B34" s="15" t="s">
        <v>225</v>
      </c>
      <c r="C34" s="16" t="s">
        <v>231</v>
      </c>
      <c r="D34" s="16" t="s">
        <v>232</v>
      </c>
      <c r="E34" s="16" t="s">
        <v>233</v>
      </c>
      <c r="F34" s="16" t="s">
        <v>234</v>
      </c>
      <c r="G34" s="20" t="s">
        <v>33</v>
      </c>
      <c r="H34" s="18"/>
      <c r="I34" s="18"/>
      <c r="J34" s="18"/>
      <c r="K34" s="16"/>
    </row>
    <row r="35" customFormat="false" ht="42" hidden="false" customHeight="true" outlineLevel="0" collapsed="false">
      <c r="A35" s="14" t="s">
        <v>235</v>
      </c>
      <c r="B35" s="15" t="s">
        <v>225</v>
      </c>
      <c r="C35" s="16" t="s">
        <v>236</v>
      </c>
      <c r="D35" s="16" t="s">
        <v>237</v>
      </c>
      <c r="E35" s="16" t="s">
        <v>238</v>
      </c>
      <c r="F35" s="16" t="s">
        <v>239</v>
      </c>
      <c r="G35" s="17" t="s">
        <v>31</v>
      </c>
      <c r="H35" s="19" t="s">
        <v>104</v>
      </c>
      <c r="I35" s="19" t="s">
        <v>104</v>
      </c>
      <c r="J35" s="18"/>
      <c r="K35" s="16"/>
    </row>
    <row r="36" customFormat="false" ht="42" hidden="false" customHeight="true" outlineLevel="0" collapsed="false">
      <c r="A36" s="14" t="s">
        <v>240</v>
      </c>
      <c r="B36" s="15" t="s">
        <v>241</v>
      </c>
      <c r="C36" s="16" t="s">
        <v>242</v>
      </c>
      <c r="D36" s="16" t="s">
        <v>243</v>
      </c>
      <c r="E36" s="16" t="s">
        <v>244</v>
      </c>
      <c r="F36" s="16" t="s">
        <v>245</v>
      </c>
      <c r="G36" s="17" t="s">
        <v>31</v>
      </c>
      <c r="H36" s="19" t="s">
        <v>104</v>
      </c>
      <c r="I36" s="19" t="s">
        <v>104</v>
      </c>
      <c r="J36" s="18"/>
      <c r="K36" s="16"/>
    </row>
    <row r="37" customFormat="false" ht="42" hidden="false" customHeight="true" outlineLevel="0" collapsed="false">
      <c r="A37" s="14" t="s">
        <v>246</v>
      </c>
      <c r="B37" s="15" t="s">
        <v>241</v>
      </c>
      <c r="C37" s="16" t="s">
        <v>247</v>
      </c>
      <c r="D37" s="16" t="s">
        <v>243</v>
      </c>
      <c r="E37" s="16" t="s">
        <v>248</v>
      </c>
      <c r="F37" s="16" t="s">
        <v>249</v>
      </c>
      <c r="G37" s="17" t="s">
        <v>31</v>
      </c>
      <c r="H37" s="19" t="s">
        <v>104</v>
      </c>
      <c r="I37" s="19" t="s">
        <v>104</v>
      </c>
      <c r="J37" s="18"/>
      <c r="K37" s="16"/>
    </row>
    <row r="38" customFormat="false" ht="42" hidden="false" customHeight="true" outlineLevel="0" collapsed="false">
      <c r="A38" s="14" t="s">
        <v>250</v>
      </c>
      <c r="B38" s="15" t="s">
        <v>241</v>
      </c>
      <c r="C38" s="16" t="s">
        <v>251</v>
      </c>
      <c r="D38" s="16" t="s">
        <v>243</v>
      </c>
      <c r="E38" s="16" t="s">
        <v>252</v>
      </c>
      <c r="F38" s="16" t="s">
        <v>253</v>
      </c>
      <c r="G38" s="17" t="s">
        <v>31</v>
      </c>
      <c r="H38" s="19" t="s">
        <v>104</v>
      </c>
      <c r="I38" s="19" t="s">
        <v>104</v>
      </c>
      <c r="J38" s="18"/>
      <c r="K38" s="16"/>
    </row>
    <row r="39" customFormat="false" ht="42" hidden="false" customHeight="true" outlineLevel="0" collapsed="false">
      <c r="A39" s="14" t="s">
        <v>254</v>
      </c>
      <c r="B39" s="15" t="s">
        <v>241</v>
      </c>
      <c r="C39" s="16" t="s">
        <v>255</v>
      </c>
      <c r="D39" s="16" t="s">
        <v>101</v>
      </c>
      <c r="E39" s="16" t="s">
        <v>256</v>
      </c>
      <c r="F39" s="16" t="s">
        <v>257</v>
      </c>
      <c r="G39" s="20" t="s">
        <v>33</v>
      </c>
      <c r="H39" s="19" t="s">
        <v>104</v>
      </c>
      <c r="I39" s="19" t="s">
        <v>104</v>
      </c>
      <c r="J39" s="18"/>
      <c r="K39" s="16"/>
    </row>
    <row r="40" customFormat="false" ht="42" hidden="false" customHeight="true" outlineLevel="0" collapsed="false">
      <c r="A40" s="14" t="s">
        <v>258</v>
      </c>
      <c r="B40" s="15" t="s">
        <v>241</v>
      </c>
      <c r="C40" s="16" t="s">
        <v>259</v>
      </c>
      <c r="D40" s="16" t="s">
        <v>101</v>
      </c>
      <c r="E40" s="16" t="s">
        <v>260</v>
      </c>
      <c r="F40" s="16" t="s">
        <v>261</v>
      </c>
      <c r="G40" s="20" t="s">
        <v>33</v>
      </c>
      <c r="H40" s="19" t="s">
        <v>104</v>
      </c>
      <c r="I40" s="19" t="s">
        <v>104</v>
      </c>
      <c r="J40" s="18"/>
      <c r="K40" s="16"/>
    </row>
    <row r="41" customFormat="false" ht="42" hidden="false" customHeight="true" outlineLevel="0" collapsed="false">
      <c r="A41" s="14" t="s">
        <v>262</v>
      </c>
      <c r="B41" s="15" t="s">
        <v>263</v>
      </c>
      <c r="C41" s="16" t="s">
        <v>264</v>
      </c>
      <c r="D41" s="16" t="s">
        <v>101</v>
      </c>
      <c r="E41" s="16" t="s">
        <v>265</v>
      </c>
      <c r="F41" s="16" t="s">
        <v>266</v>
      </c>
      <c r="G41" s="17" t="s">
        <v>31</v>
      </c>
      <c r="H41" s="18"/>
      <c r="I41" s="19" t="s">
        <v>104</v>
      </c>
      <c r="J41" s="19" t="s">
        <v>104</v>
      </c>
      <c r="K41" s="16"/>
    </row>
    <row r="42" customFormat="false" ht="42" hidden="false" customHeight="true" outlineLevel="0" collapsed="false">
      <c r="A42" s="14" t="s">
        <v>267</v>
      </c>
      <c r="B42" s="15" t="s">
        <v>263</v>
      </c>
      <c r="C42" s="16" t="s">
        <v>268</v>
      </c>
      <c r="D42" s="16" t="s">
        <v>101</v>
      </c>
      <c r="E42" s="16" t="s">
        <v>269</v>
      </c>
      <c r="F42" s="16" t="s">
        <v>270</v>
      </c>
      <c r="G42" s="20" t="s">
        <v>33</v>
      </c>
      <c r="H42" s="18"/>
      <c r="I42" s="19" t="s">
        <v>104</v>
      </c>
      <c r="J42" s="19" t="s">
        <v>104</v>
      </c>
      <c r="K42" s="16"/>
    </row>
    <row r="43" customFormat="false" ht="42" hidden="false" customHeight="true" outlineLevel="0" collapsed="false">
      <c r="A43" s="14" t="s">
        <v>271</v>
      </c>
      <c r="B43" s="15" t="s">
        <v>263</v>
      </c>
      <c r="C43" s="16" t="s">
        <v>272</v>
      </c>
      <c r="D43" s="16" t="s">
        <v>101</v>
      </c>
      <c r="E43" s="16" t="s">
        <v>273</v>
      </c>
      <c r="F43" s="16" t="s">
        <v>274</v>
      </c>
      <c r="G43" s="17" t="s">
        <v>31</v>
      </c>
      <c r="H43" s="19" t="s">
        <v>104</v>
      </c>
      <c r="I43" s="18"/>
      <c r="J43" s="19" t="s">
        <v>104</v>
      </c>
      <c r="K43" s="16"/>
    </row>
    <row r="44" customFormat="false" ht="42" hidden="false" customHeight="true" outlineLevel="0" collapsed="false">
      <c r="A44" s="14" t="s">
        <v>275</v>
      </c>
      <c r="B44" s="15" t="s">
        <v>263</v>
      </c>
      <c r="C44" s="16" t="s">
        <v>276</v>
      </c>
      <c r="D44" s="16" t="s">
        <v>101</v>
      </c>
      <c r="E44" s="16" t="s">
        <v>277</v>
      </c>
      <c r="F44" s="16" t="s">
        <v>278</v>
      </c>
      <c r="G44" s="17" t="s">
        <v>31</v>
      </c>
      <c r="H44" s="19" t="s">
        <v>104</v>
      </c>
      <c r="I44" s="18"/>
      <c r="J44" s="19" t="s">
        <v>104</v>
      </c>
      <c r="K44" s="16"/>
    </row>
    <row r="45" customFormat="false" ht="42" hidden="false" customHeight="true" outlineLevel="0" collapsed="false">
      <c r="A45" s="14" t="s">
        <v>279</v>
      </c>
      <c r="B45" s="15" t="s">
        <v>263</v>
      </c>
      <c r="C45" s="16" t="s">
        <v>280</v>
      </c>
      <c r="D45" s="16" t="s">
        <v>101</v>
      </c>
      <c r="E45" s="16" t="s">
        <v>281</v>
      </c>
      <c r="F45" s="16" t="s">
        <v>282</v>
      </c>
      <c r="G45" s="17" t="s">
        <v>31</v>
      </c>
      <c r="H45" s="19" t="s">
        <v>104</v>
      </c>
      <c r="I45" s="18"/>
      <c r="J45" s="18"/>
      <c r="K45" s="16"/>
    </row>
    <row r="46" customFormat="false" ht="42" hidden="false" customHeight="true" outlineLevel="0" collapsed="false">
      <c r="A46" s="14" t="s">
        <v>283</v>
      </c>
      <c r="B46" s="15" t="s">
        <v>263</v>
      </c>
      <c r="C46" s="16" t="s">
        <v>284</v>
      </c>
      <c r="D46" s="16" t="s">
        <v>101</v>
      </c>
      <c r="E46" s="16" t="s">
        <v>285</v>
      </c>
      <c r="F46" s="16" t="s">
        <v>286</v>
      </c>
      <c r="G46" s="17" t="s">
        <v>31</v>
      </c>
      <c r="H46" s="19" t="s">
        <v>104</v>
      </c>
      <c r="I46" s="19" t="s">
        <v>104</v>
      </c>
      <c r="J46" s="18"/>
      <c r="K46" s="16"/>
    </row>
    <row r="47" customFormat="false" ht="42" hidden="false" customHeight="true" outlineLevel="0" collapsed="false">
      <c r="A47" s="14" t="s">
        <v>287</v>
      </c>
      <c r="B47" s="15" t="s">
        <v>263</v>
      </c>
      <c r="C47" s="16" t="s">
        <v>288</v>
      </c>
      <c r="D47" s="16" t="s">
        <v>101</v>
      </c>
      <c r="E47" s="16" t="s">
        <v>289</v>
      </c>
      <c r="F47" s="16" t="s">
        <v>290</v>
      </c>
      <c r="G47" s="20" t="s">
        <v>33</v>
      </c>
      <c r="H47" s="19" t="s">
        <v>104</v>
      </c>
      <c r="I47" s="18"/>
      <c r="J47" s="18"/>
      <c r="K47" s="16"/>
    </row>
    <row r="48" customFormat="false" ht="42" hidden="false" customHeight="true" outlineLevel="0" collapsed="false">
      <c r="A48" s="14" t="s">
        <v>291</v>
      </c>
      <c r="B48" s="15" t="s">
        <v>263</v>
      </c>
      <c r="C48" s="16" t="s">
        <v>292</v>
      </c>
      <c r="D48" s="16" t="s">
        <v>293</v>
      </c>
      <c r="E48" s="16" t="s">
        <v>294</v>
      </c>
      <c r="F48" s="16" t="s">
        <v>295</v>
      </c>
      <c r="G48" s="20" t="s">
        <v>33</v>
      </c>
      <c r="H48" s="18"/>
      <c r="I48" s="18"/>
      <c r="J48" s="19" t="s">
        <v>104</v>
      </c>
      <c r="K48" s="16"/>
    </row>
    <row r="49" customFormat="false" ht="42" hidden="false" customHeight="true" outlineLevel="0" collapsed="false">
      <c r="A49" s="14" t="s">
        <v>296</v>
      </c>
      <c r="B49" s="15" t="s">
        <v>263</v>
      </c>
      <c r="C49" s="16" t="s">
        <v>297</v>
      </c>
      <c r="D49" s="16" t="s">
        <v>101</v>
      </c>
      <c r="E49" s="16" t="s">
        <v>298</v>
      </c>
      <c r="F49" s="16" t="s">
        <v>299</v>
      </c>
      <c r="G49" s="20" t="s">
        <v>33</v>
      </c>
      <c r="H49" s="19" t="s">
        <v>104</v>
      </c>
      <c r="I49" s="19" t="s">
        <v>104</v>
      </c>
      <c r="J49" s="18"/>
      <c r="K49" s="16"/>
    </row>
    <row r="50" customFormat="false" ht="42" hidden="false" customHeight="true" outlineLevel="0" collapsed="false">
      <c r="A50" s="14" t="s">
        <v>300</v>
      </c>
      <c r="B50" s="15" t="s">
        <v>263</v>
      </c>
      <c r="C50" s="16" t="s">
        <v>301</v>
      </c>
      <c r="D50" s="16" t="s">
        <v>101</v>
      </c>
      <c r="E50" s="16" t="s">
        <v>302</v>
      </c>
      <c r="F50" s="16" t="s">
        <v>303</v>
      </c>
      <c r="G50" s="20" t="s">
        <v>33</v>
      </c>
      <c r="H50" s="18"/>
      <c r="I50" s="18"/>
      <c r="J50" s="19" t="s">
        <v>104</v>
      </c>
      <c r="K50" s="16"/>
    </row>
    <row r="51" customFormat="false" ht="42" hidden="false" customHeight="true" outlineLevel="0" collapsed="false">
      <c r="A51" s="14" t="s">
        <v>304</v>
      </c>
      <c r="B51" s="15" t="s">
        <v>263</v>
      </c>
      <c r="C51" s="16" t="s">
        <v>305</v>
      </c>
      <c r="D51" s="16" t="s">
        <v>101</v>
      </c>
      <c r="E51" s="16" t="s">
        <v>306</v>
      </c>
      <c r="F51" s="16" t="s">
        <v>307</v>
      </c>
      <c r="G51" s="20" t="s">
        <v>33</v>
      </c>
      <c r="H51" s="18"/>
      <c r="I51" s="19" t="s">
        <v>104</v>
      </c>
      <c r="J51" s="19" t="s">
        <v>104</v>
      </c>
      <c r="K51" s="16"/>
    </row>
    <row r="52" customFormat="false" ht="42" hidden="false" customHeight="true" outlineLevel="0" collapsed="false">
      <c r="A52" s="14" t="s">
        <v>308</v>
      </c>
      <c r="B52" s="15" t="s">
        <v>309</v>
      </c>
      <c r="C52" s="16" t="s">
        <v>310</v>
      </c>
      <c r="D52" s="16" t="s">
        <v>159</v>
      </c>
      <c r="E52" s="16" t="s">
        <v>311</v>
      </c>
      <c r="F52" s="16" t="s">
        <v>312</v>
      </c>
      <c r="G52" s="17" t="s">
        <v>31</v>
      </c>
      <c r="H52" s="19" t="s">
        <v>104</v>
      </c>
      <c r="I52" s="19" t="s">
        <v>104</v>
      </c>
      <c r="J52" s="18"/>
      <c r="K52" s="16"/>
    </row>
    <row r="53" customFormat="false" ht="42" hidden="false" customHeight="true" outlineLevel="0" collapsed="false">
      <c r="A53" s="14" t="s">
        <v>313</v>
      </c>
      <c r="B53" s="15" t="s">
        <v>309</v>
      </c>
      <c r="C53" s="16" t="s">
        <v>314</v>
      </c>
      <c r="D53" s="16" t="s">
        <v>315</v>
      </c>
      <c r="E53" s="16" t="s">
        <v>316</v>
      </c>
      <c r="F53" s="16" t="s">
        <v>317</v>
      </c>
      <c r="G53" s="17" t="s">
        <v>31</v>
      </c>
      <c r="H53" s="19" t="s">
        <v>104</v>
      </c>
      <c r="I53" s="19" t="s">
        <v>104</v>
      </c>
      <c r="J53" s="18"/>
      <c r="K53" s="16"/>
    </row>
    <row r="54" customFormat="false" ht="42" hidden="false" customHeight="true" outlineLevel="0" collapsed="false">
      <c r="A54" s="14" t="s">
        <v>318</v>
      </c>
      <c r="B54" s="15" t="s">
        <v>309</v>
      </c>
      <c r="C54" s="16" t="s">
        <v>319</v>
      </c>
      <c r="D54" s="16" t="s">
        <v>101</v>
      </c>
      <c r="E54" s="16" t="s">
        <v>320</v>
      </c>
      <c r="F54" s="16" t="s">
        <v>321</v>
      </c>
      <c r="G54" s="17" t="s">
        <v>31</v>
      </c>
      <c r="H54" s="19" t="s">
        <v>104</v>
      </c>
      <c r="I54" s="19" t="s">
        <v>104</v>
      </c>
      <c r="J54" s="18"/>
      <c r="K54" s="16"/>
    </row>
    <row r="55" customFormat="false" ht="42" hidden="false" customHeight="true" outlineLevel="0" collapsed="false">
      <c r="A55" s="14" t="s">
        <v>322</v>
      </c>
      <c r="B55" s="15" t="s">
        <v>309</v>
      </c>
      <c r="C55" s="16" t="s">
        <v>323</v>
      </c>
      <c r="D55" s="16" t="s">
        <v>101</v>
      </c>
      <c r="E55" s="16" t="s">
        <v>324</v>
      </c>
      <c r="F55" s="16" t="s">
        <v>325</v>
      </c>
      <c r="G55" s="17" t="s">
        <v>31</v>
      </c>
      <c r="H55" s="19" t="s">
        <v>104</v>
      </c>
      <c r="I55" s="19" t="s">
        <v>104</v>
      </c>
      <c r="J55" s="18"/>
      <c r="K55" s="16"/>
    </row>
    <row r="56" customFormat="false" ht="42" hidden="false" customHeight="true" outlineLevel="0" collapsed="false">
      <c r="A56" s="14" t="s">
        <v>326</v>
      </c>
      <c r="B56" s="15" t="s">
        <v>309</v>
      </c>
      <c r="C56" s="16" t="s">
        <v>327</v>
      </c>
      <c r="D56" s="16" t="s">
        <v>101</v>
      </c>
      <c r="E56" s="16" t="s">
        <v>328</v>
      </c>
      <c r="F56" s="16" t="s">
        <v>329</v>
      </c>
      <c r="G56" s="17" t="s">
        <v>31</v>
      </c>
      <c r="H56" s="18"/>
      <c r="I56" s="18"/>
      <c r="J56" s="19" t="s">
        <v>104</v>
      </c>
      <c r="K56" s="16"/>
    </row>
    <row r="57" customFormat="false" ht="42" hidden="false" customHeight="true" outlineLevel="0" collapsed="false">
      <c r="A57" s="14" t="s">
        <v>330</v>
      </c>
      <c r="B57" s="15" t="s">
        <v>309</v>
      </c>
      <c r="C57" s="16" t="s">
        <v>331</v>
      </c>
      <c r="D57" s="16" t="s">
        <v>101</v>
      </c>
      <c r="E57" s="16" t="s">
        <v>332</v>
      </c>
      <c r="F57" s="16" t="s">
        <v>333</v>
      </c>
      <c r="G57" s="17" t="s">
        <v>31</v>
      </c>
      <c r="H57" s="18"/>
      <c r="I57" s="18"/>
      <c r="J57" s="18"/>
      <c r="K57" s="16"/>
    </row>
    <row r="58" customFormat="false" ht="42" hidden="false" customHeight="true" outlineLevel="0" collapsed="false">
      <c r="A58" s="14" t="s">
        <v>334</v>
      </c>
      <c r="B58" s="15" t="s">
        <v>309</v>
      </c>
      <c r="C58" s="16" t="s">
        <v>335</v>
      </c>
      <c r="D58" s="16" t="s">
        <v>101</v>
      </c>
      <c r="E58" s="16" t="s">
        <v>336</v>
      </c>
      <c r="F58" s="16" t="s">
        <v>337</v>
      </c>
      <c r="G58" s="20" t="s">
        <v>33</v>
      </c>
      <c r="H58" s="18"/>
      <c r="I58" s="19" t="s">
        <v>104</v>
      </c>
      <c r="J58" s="18"/>
      <c r="K58" s="16"/>
    </row>
    <row r="59" customFormat="false" ht="42" hidden="false" customHeight="true" outlineLevel="0" collapsed="false">
      <c r="A59" s="14" t="s">
        <v>338</v>
      </c>
      <c r="B59" s="15" t="s">
        <v>309</v>
      </c>
      <c r="C59" s="16" t="s">
        <v>339</v>
      </c>
      <c r="D59" s="16" t="s">
        <v>101</v>
      </c>
      <c r="E59" s="16" t="s">
        <v>340</v>
      </c>
      <c r="F59" s="16" t="s">
        <v>341</v>
      </c>
      <c r="G59" s="20" t="s">
        <v>33</v>
      </c>
      <c r="H59" s="19" t="s">
        <v>104</v>
      </c>
      <c r="I59" s="19" t="s">
        <v>104</v>
      </c>
      <c r="J59" s="18"/>
      <c r="K59" s="16"/>
    </row>
    <row r="60" customFormat="false" ht="42" hidden="false" customHeight="true" outlineLevel="0" collapsed="false">
      <c r="A60" s="14" t="s">
        <v>342</v>
      </c>
      <c r="B60" s="15" t="s">
        <v>343</v>
      </c>
      <c r="C60" s="16" t="s">
        <v>344</v>
      </c>
      <c r="D60" s="16" t="s">
        <v>101</v>
      </c>
      <c r="E60" s="16" t="s">
        <v>345</v>
      </c>
      <c r="F60" s="16" t="s">
        <v>346</v>
      </c>
      <c r="G60" s="17" t="s">
        <v>31</v>
      </c>
      <c r="H60" s="19" t="s">
        <v>104</v>
      </c>
      <c r="I60" s="19" t="s">
        <v>104</v>
      </c>
      <c r="J60" s="18"/>
      <c r="K60" s="16"/>
    </row>
    <row r="61" customFormat="false" ht="42" hidden="false" customHeight="true" outlineLevel="0" collapsed="false">
      <c r="A61" s="14" t="s">
        <v>347</v>
      </c>
      <c r="B61" s="15" t="s">
        <v>343</v>
      </c>
      <c r="C61" s="16" t="s">
        <v>348</v>
      </c>
      <c r="D61" s="16" t="s">
        <v>101</v>
      </c>
      <c r="E61" s="16" t="s">
        <v>349</v>
      </c>
      <c r="F61" s="16" t="s">
        <v>350</v>
      </c>
      <c r="G61" s="20" t="s">
        <v>33</v>
      </c>
      <c r="H61" s="19" t="s">
        <v>104</v>
      </c>
      <c r="I61" s="19" t="s">
        <v>104</v>
      </c>
      <c r="J61" s="18"/>
      <c r="K61" s="16"/>
    </row>
    <row r="62" customFormat="false" ht="42" hidden="false" customHeight="true" outlineLevel="0" collapsed="false">
      <c r="A62" s="14" t="s">
        <v>351</v>
      </c>
      <c r="B62" s="15" t="s">
        <v>343</v>
      </c>
      <c r="C62" s="16" t="s">
        <v>352</v>
      </c>
      <c r="D62" s="16" t="s">
        <v>101</v>
      </c>
      <c r="E62" s="16" t="s">
        <v>353</v>
      </c>
      <c r="F62" s="16" t="s">
        <v>354</v>
      </c>
      <c r="G62" s="20" t="s">
        <v>33</v>
      </c>
      <c r="H62" s="19" t="s">
        <v>104</v>
      </c>
      <c r="I62" s="19" t="s">
        <v>104</v>
      </c>
      <c r="J62" s="18"/>
      <c r="K62" s="16"/>
    </row>
    <row r="63" customFormat="false" ht="42" hidden="false" customHeight="true" outlineLevel="0" collapsed="false">
      <c r="A63" s="14" t="s">
        <v>355</v>
      </c>
      <c r="B63" s="15" t="s">
        <v>343</v>
      </c>
      <c r="C63" s="16" t="s">
        <v>356</v>
      </c>
      <c r="D63" s="16" t="s">
        <v>101</v>
      </c>
      <c r="E63" s="16" t="s">
        <v>357</v>
      </c>
      <c r="F63" s="16" t="s">
        <v>358</v>
      </c>
      <c r="G63" s="20" t="s">
        <v>33</v>
      </c>
      <c r="H63" s="19" t="s">
        <v>104</v>
      </c>
      <c r="I63" s="19" t="s">
        <v>104</v>
      </c>
      <c r="J63" s="18"/>
      <c r="K63" s="16"/>
    </row>
    <row r="64" customFormat="false" ht="42" hidden="false" customHeight="true" outlineLevel="0" collapsed="false">
      <c r="A64" s="14" t="s">
        <v>359</v>
      </c>
      <c r="B64" s="15" t="s">
        <v>343</v>
      </c>
      <c r="C64" s="16" t="s">
        <v>360</v>
      </c>
      <c r="D64" s="16" t="s">
        <v>361</v>
      </c>
      <c r="E64" s="16" t="s">
        <v>362</v>
      </c>
      <c r="F64" s="16" t="s">
        <v>363</v>
      </c>
      <c r="G64" s="20" t="s">
        <v>33</v>
      </c>
      <c r="H64" s="19" t="s">
        <v>104</v>
      </c>
      <c r="I64" s="19" t="s">
        <v>104</v>
      </c>
      <c r="J64" s="18"/>
      <c r="K64" s="16"/>
    </row>
    <row r="65" customFormat="false" ht="42" hidden="false" customHeight="true" outlineLevel="0" collapsed="false">
      <c r="A65" s="14" t="s">
        <v>364</v>
      </c>
      <c r="B65" s="15" t="s">
        <v>365</v>
      </c>
      <c r="C65" s="16" t="s">
        <v>366</v>
      </c>
      <c r="D65" s="16" t="s">
        <v>101</v>
      </c>
      <c r="E65" s="16" t="s">
        <v>367</v>
      </c>
      <c r="F65" s="16" t="s">
        <v>368</v>
      </c>
      <c r="G65" s="17" t="s">
        <v>31</v>
      </c>
      <c r="H65" s="18"/>
      <c r="I65" s="18"/>
      <c r="J65" s="18"/>
      <c r="K65" s="16"/>
    </row>
    <row r="66" customFormat="false" ht="42" hidden="false" customHeight="true" outlineLevel="0" collapsed="false">
      <c r="A66" s="14" t="s">
        <v>369</v>
      </c>
      <c r="B66" s="15" t="s">
        <v>365</v>
      </c>
      <c r="C66" s="16" t="s">
        <v>370</v>
      </c>
      <c r="D66" s="16" t="s">
        <v>371</v>
      </c>
      <c r="E66" s="16" t="s">
        <v>372</v>
      </c>
      <c r="F66" s="16" t="s">
        <v>373</v>
      </c>
      <c r="G66" s="20" t="s">
        <v>33</v>
      </c>
      <c r="H66" s="18"/>
      <c r="I66" s="18"/>
      <c r="J66" s="18"/>
      <c r="K66" s="16"/>
    </row>
    <row r="67" customFormat="false" ht="42" hidden="false" customHeight="true" outlineLevel="0" collapsed="false">
      <c r="A67" s="14" t="s">
        <v>374</v>
      </c>
      <c r="B67" s="15" t="s">
        <v>365</v>
      </c>
      <c r="C67" s="16" t="s">
        <v>375</v>
      </c>
      <c r="D67" s="16" t="s">
        <v>101</v>
      </c>
      <c r="E67" s="16" t="s">
        <v>376</v>
      </c>
      <c r="F67" s="16" t="s">
        <v>377</v>
      </c>
      <c r="G67" s="17" t="s">
        <v>31</v>
      </c>
      <c r="H67" s="18"/>
      <c r="I67" s="18"/>
      <c r="J67" s="18"/>
      <c r="K67" s="16"/>
    </row>
  </sheetData>
  <autoFilter ref="A4:K67"/>
  <conditionalFormatting sqref="H5:J67">
    <cfRule type="cellIs" priority="2" operator="equal" aboveAverage="0" equalAverage="0" bottom="0" percent="0" rank="0" text="" dxfId="8">
      <formula>"OK"</formula>
    </cfRule>
    <cfRule type="cellIs" priority="3" operator="equal" aboveAverage="0" equalAverage="0" bottom="0" percent="0" rank="0" text="" dxfId="9">
      <formula>"KO"</formula>
    </cfRule>
    <cfRule type="cellIs" priority="4" operator="equal" aboveAverage="0" equalAverage="0" bottom="0" percent="0" rank="0" text="" dxfId="10">
      <formula>"Non teste"</formula>
    </cfRule>
  </conditionalFormatting>
  <dataValidations count="1">
    <dataValidation allowBlank="true" error="Valeurs admises : OK, KO, N/A, Non teste." errorStyle="stop" errorTitle="Valeur non admise" operator="between" showDropDown="false" showErrorMessage="false" showInputMessage="false" sqref="H5:J67" type="list">
      <formula1>"OK,KO,N/A,Non teste"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0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378</v>
      </c>
    </row>
    <row r="2" customFormat="false" ht="15" hidden="false" customHeight="false" outlineLevel="0" collapsed="false">
      <c r="A2" s="2" t="s">
        <v>379</v>
      </c>
    </row>
    <row r="4" customFormat="false" ht="15" hidden="false" customHeight="false" outlineLevel="0" collapsed="false">
      <c r="A4" s="21" t="s">
        <v>380</v>
      </c>
      <c r="B4" s="22" t="s">
        <v>381</v>
      </c>
    </row>
    <row r="6" customFormat="false" ht="30" hidden="false" customHeight="true" outlineLevel="0" collapsed="false">
      <c r="A6" s="7" t="s">
        <v>38</v>
      </c>
      <c r="B6" s="7" t="s">
        <v>382</v>
      </c>
      <c r="C6" s="7" t="s">
        <v>383</v>
      </c>
      <c r="D6" s="7" t="s">
        <v>104</v>
      </c>
      <c r="E6" s="7" t="s">
        <v>384</v>
      </c>
      <c r="F6" s="7" t="s">
        <v>385</v>
      </c>
      <c r="G6" s="7" t="s">
        <v>386</v>
      </c>
    </row>
    <row r="7" customFormat="false" ht="15" hidden="false" customHeight="false" outlineLevel="0" collapsed="false">
      <c r="A7" s="23" t="s">
        <v>45</v>
      </c>
      <c r="B7" s="24" t="n">
        <f aca="false">COUNTIF('Cas de test'!H5:H67,"OK")</f>
        <v>0</v>
      </c>
      <c r="C7" s="24" t="n">
        <f aca="false">COUNTIF('Cas de test'!H5:H67,"KO")</f>
        <v>0</v>
      </c>
      <c r="D7" s="24" t="n">
        <f aca="false">COUNTIF('Cas de test'!H5:H67,"N/A")</f>
        <v>31</v>
      </c>
      <c r="E7" s="24" t="n">
        <f aca="false">COUNTIF('Cas de test'!H5:H67,"Non teste")</f>
        <v>0</v>
      </c>
      <c r="F7" s="24" t="n">
        <f aca="false">COUNTBLANK('Cas de test'!H5:H67)+E7</f>
        <v>32</v>
      </c>
      <c r="G7" s="25" t="n">
        <f aca="false">IFERROR((B7+C7)/(63-D7),0)</f>
        <v>0</v>
      </c>
    </row>
    <row r="8" customFormat="false" ht="15" hidden="false" customHeight="false" outlineLevel="0" collapsed="false">
      <c r="A8" s="23" t="s">
        <v>60</v>
      </c>
      <c r="B8" s="24" t="n">
        <f aca="false">COUNTIF('Cas de test'!I5:I67,"OK")</f>
        <v>0</v>
      </c>
      <c r="C8" s="24" t="n">
        <f aca="false">COUNTIF('Cas de test'!I5:I67,"KO")</f>
        <v>0</v>
      </c>
      <c r="D8" s="24" t="n">
        <f aca="false">COUNTIF('Cas de test'!I5:I67,"N/A")</f>
        <v>31</v>
      </c>
      <c r="E8" s="24" t="n">
        <f aca="false">COUNTIF('Cas de test'!I5:I67,"Non teste")</f>
        <v>0</v>
      </c>
      <c r="F8" s="24" t="n">
        <f aca="false">COUNTBLANK('Cas de test'!I5:I67)+E8</f>
        <v>32</v>
      </c>
      <c r="G8" s="25" t="n">
        <f aca="false">IFERROR((B8+C8)/(63-D8),0)</f>
        <v>0</v>
      </c>
    </row>
    <row r="9" customFormat="false" ht="15" hidden="false" customHeight="false" outlineLevel="0" collapsed="false">
      <c r="A9" s="23" t="s">
        <v>68</v>
      </c>
      <c r="B9" s="24" t="n">
        <f aca="false">COUNTIF('Cas de test'!J5:J67,"OK")</f>
        <v>0</v>
      </c>
      <c r="C9" s="24" t="n">
        <f aca="false">COUNTIF('Cas de test'!J5:J67,"KO")</f>
        <v>0</v>
      </c>
      <c r="D9" s="24" t="n">
        <f aca="false">COUNTIF('Cas de test'!J5:J67,"N/A")</f>
        <v>8</v>
      </c>
      <c r="E9" s="24" t="n">
        <f aca="false">COUNTIF('Cas de test'!J5:J67,"Non teste")</f>
        <v>0</v>
      </c>
      <c r="F9" s="24" t="n">
        <f aca="false">COUNTBLANK('Cas de test'!J5:J67)+E9</f>
        <v>55</v>
      </c>
      <c r="G9" s="25" t="n">
        <f aca="false">IFERROR((B9+C9)/(63-D9),0)</f>
        <v>0</v>
      </c>
    </row>
    <row r="10" customFormat="false" ht="15" hidden="false" customHeight="false" outlineLevel="0" collapsed="false">
      <c r="A10" s="26" t="s">
        <v>387</v>
      </c>
      <c r="B10" s="27" t="n">
        <f aca="false">SUM(B7:B9)</f>
        <v>0</v>
      </c>
      <c r="C10" s="27" t="n">
        <f aca="false">SUM(C7:C9)</f>
        <v>0</v>
      </c>
      <c r="D10" s="27" t="n">
        <f aca="false">SUM(D7:D9)</f>
        <v>70</v>
      </c>
      <c r="E10" s="27" t="n">
        <f aca="false">SUM(E7:E9)</f>
        <v>0</v>
      </c>
      <c r="F10" s="27" t="n">
        <f aca="false">SUM(F7:F9)</f>
        <v>119</v>
      </c>
      <c r="G10" s="28" t="n">
        <f aca="false">IFERROR((B10+C10)/(B10+C10+F10),0)</f>
        <v>0</v>
      </c>
    </row>
    <row r="13" customFormat="false" ht="15" hidden="false" customHeight="false" outlineLevel="0" collapsed="false">
      <c r="A13" s="29" t="s">
        <v>388</v>
      </c>
      <c r="B13" s="30" t="str">
        <f aca="false">IF(F10&gt;0,"Campagne incomplete",IF(C10&gt;0,"NON CONFORME - anomalies a traiter","CONFORME - mise en production autorisee"))</f>
        <v>Campagne incomplete</v>
      </c>
    </row>
    <row r="15" customFormat="false" ht="15" hidden="false" customHeight="false" outlineLevel="0" collapsed="false">
      <c r="A15" s="13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2026-07-28T07:27:53Z</dcterms:created>
  <dc:creator>openpyxl</dc:creator>
  <dc:description/>
  <dc:language>en-US</dc:language>
  <cp:lastModifiedBy/>
  <dcterms:modified xsi:type="dcterms:W3CDTF">2026-07-28T07:27:53Z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